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mattia.forneron\Desktop\myfolder\vinted\"/>
    </mc:Choice>
  </mc:AlternateContent>
  <xr:revisionPtr revIDLastSave="0" documentId="13_ncr:1_{CFD8682C-7158-4A6E-A69D-AD31D735290B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Foglio1" sheetId="1" r:id="rId1"/>
    <sheet name="Foglio2" sheetId="2" r:id="rId2"/>
    <sheet name="Foglio3" sheetId="3" r:id="rId3"/>
    <sheet name="Foglio4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jyX7o/HUAg6Dk7/zdUmPcq2MPYf6sLyDbh7wAw8wyxY="/>
    </ext>
  </extLst>
</workbook>
</file>

<file path=xl/calcChain.xml><?xml version="1.0" encoding="utf-8"?>
<calcChain xmlns="http://schemas.openxmlformats.org/spreadsheetml/2006/main">
  <c r="P12" i="3" l="1"/>
  <c r="O26" i="3"/>
  <c r="P21" i="3"/>
  <c r="Q21" i="3"/>
  <c r="P13" i="2"/>
  <c r="P12" i="2"/>
  <c r="P11" i="2" s="1"/>
  <c r="R21" i="3" l="1"/>
  <c r="S21" i="3"/>
  <c r="D19" i="3"/>
  <c r="N26" i="3"/>
  <c r="P7" i="3"/>
  <c r="P6" i="3"/>
  <c r="Q16" i="3"/>
  <c r="Q17" i="3"/>
  <c r="Q18" i="3"/>
  <c r="Q19" i="3"/>
  <c r="Q20" i="3"/>
  <c r="P16" i="3"/>
  <c r="S16" i="3" s="1"/>
  <c r="P17" i="3"/>
  <c r="S17" i="3" s="1"/>
  <c r="P18" i="3"/>
  <c r="S18" i="3" s="1"/>
  <c r="P19" i="3"/>
  <c r="S19" i="3" s="1"/>
  <c r="P20" i="3"/>
  <c r="S20" i="3" s="1"/>
  <c r="D20" i="3"/>
  <c r="D3" i="3"/>
  <c r="D12" i="3"/>
  <c r="D16" i="3"/>
  <c r="D17" i="3"/>
  <c r="D18" i="3"/>
  <c r="D15" i="3"/>
  <c r="D14" i="3"/>
  <c r="D13" i="3"/>
  <c r="D11" i="3"/>
  <c r="D10" i="3"/>
  <c r="P9" i="3"/>
  <c r="O9" i="3"/>
  <c r="D9" i="3"/>
  <c r="P8" i="3"/>
  <c r="O8" i="3"/>
  <c r="D8" i="3"/>
  <c r="O7" i="3"/>
  <c r="D7" i="3"/>
  <c r="O6" i="3"/>
  <c r="D6" i="3"/>
  <c r="D5" i="3"/>
  <c r="P4" i="3"/>
  <c r="O4" i="3"/>
  <c r="D4" i="3"/>
  <c r="K23" i="2"/>
  <c r="J23" i="2"/>
  <c r="H23" i="2"/>
  <c r="I22" i="2"/>
  <c r="I21" i="2"/>
  <c r="I20" i="2"/>
  <c r="I19" i="2"/>
  <c r="I18" i="2"/>
  <c r="I17" i="2"/>
  <c r="I16" i="2"/>
  <c r="I15" i="2"/>
  <c r="I14" i="2"/>
  <c r="I13" i="2"/>
  <c r="P14" i="2" s="1"/>
  <c r="I12" i="2"/>
  <c r="I11" i="2"/>
  <c r="P10" i="2"/>
  <c r="I10" i="2"/>
  <c r="I9" i="2"/>
  <c r="Q26" i="3" l="1"/>
  <c r="P26" i="3"/>
  <c r="I23" i="2"/>
  <c r="R16" i="3"/>
  <c r="R20" i="3"/>
  <c r="R19" i="3"/>
  <c r="R18" i="3"/>
  <c r="R17" i="3"/>
  <c r="P5" i="3"/>
  <c r="P10" i="3"/>
  <c r="P11" i="3" s="1"/>
  <c r="O10" i="3"/>
  <c r="O11" i="3" s="1"/>
  <c r="O12" i="3" s="1"/>
  <c r="O5" i="3"/>
  <c r="P9" i="2"/>
  <c r="R26" i="3" l="1"/>
  <c r="S26" i="3"/>
</calcChain>
</file>

<file path=xl/sharedStrings.xml><?xml version="1.0" encoding="utf-8"?>
<sst xmlns="http://schemas.openxmlformats.org/spreadsheetml/2006/main" count="318" uniqueCount="205">
  <si>
    <t>Ordine</t>
  </si>
  <si>
    <t>Frase</t>
  </si>
  <si>
    <t>Codice</t>
  </si>
  <si>
    <t>Nome</t>
  </si>
  <si>
    <t>Prezzo di mercato</t>
  </si>
  <si>
    <t>Mio Prezzo</t>
  </si>
  <si>
    <t>Prezzo venduto</t>
  </si>
  <si>
    <t>Venduto</t>
  </si>
  <si>
    <t>1/72</t>
  </si>
  <si>
    <t>TRICERATOPS</t>
  </si>
  <si>
    <t>True</t>
  </si>
  <si>
    <t>Media dei pezzi(teorica)</t>
  </si>
  <si>
    <t>5/72</t>
  </si>
  <si>
    <t>ANKYLOSAURUS  </t>
  </si>
  <si>
    <t>Media dei pezzi(effettiva)</t>
  </si>
  <si>
    <t>21/72</t>
  </si>
  <si>
    <t xml:space="preserve">VELOCIRAPTOR </t>
  </si>
  <si>
    <t>False</t>
  </si>
  <si>
    <t>Da vendere</t>
  </si>
  <si>
    <t>23/72</t>
  </si>
  <si>
    <t xml:space="preserve">PSITTACOSAURUS </t>
  </si>
  <si>
    <t>Ricavo(teorico)</t>
  </si>
  <si>
    <t>25/72</t>
  </si>
  <si>
    <t xml:space="preserve">SPINOSAURUS  </t>
  </si>
  <si>
    <t>Ricavo(effettivo)</t>
  </si>
  <si>
    <t>27/72</t>
  </si>
  <si>
    <t xml:space="preserve">TSINTAOSAURUS  </t>
  </si>
  <si>
    <t>"Perdita"</t>
  </si>
  <si>
    <t>37/72</t>
  </si>
  <si>
    <t xml:space="preserve">DIMETRODON  </t>
  </si>
  <si>
    <t>39/72</t>
  </si>
  <si>
    <t xml:space="preserve">STEGOSAURUS  </t>
  </si>
  <si>
    <t>41/72</t>
  </si>
  <si>
    <t>BARYONYX</t>
  </si>
  <si>
    <t>43/72</t>
  </si>
  <si>
    <t xml:space="preserve">STYRACOSAURUS  </t>
  </si>
  <si>
    <t>45/72</t>
  </si>
  <si>
    <t>GALLIMIMUS</t>
  </si>
  <si>
    <t>59/72</t>
  </si>
  <si>
    <t xml:space="preserve">PTERANODON </t>
  </si>
  <si>
    <t>63/72</t>
  </si>
  <si>
    <t xml:space="preserve">BRONTOSAURUS  </t>
  </si>
  <si>
    <t>71/72</t>
  </si>
  <si>
    <t xml:space="preserve">HYPSILOPHODON </t>
  </si>
  <si>
    <t xml:space="preserve">Totale </t>
  </si>
  <si>
    <t>14 Pezzi</t>
  </si>
  <si>
    <t>Dettagli su calcoli dei prezzi</t>
  </si>
  <si>
    <t>Per i prodotti sui 15€ la formula è (prezzo -5 /2)</t>
  </si>
  <si>
    <t>Per i prodotti sui 10 o 9€ la formula è (prezzo /2) -1</t>
  </si>
  <si>
    <t>Spedizioni</t>
  </si>
  <si>
    <t>Giorno Spedizione</t>
  </si>
  <si>
    <t>Giorno di arrivo</t>
  </si>
  <si>
    <t>Luogo di partenza</t>
  </si>
  <si>
    <t>Luogo Destinazione</t>
  </si>
  <si>
    <t>Prodotto</t>
  </si>
  <si>
    <t>Persona</t>
  </si>
  <si>
    <t>Corriere</t>
  </si>
  <si>
    <t>Stato</t>
  </si>
  <si>
    <t>Costo</t>
  </si>
  <si>
    <t>martedì, 4/02/2025</t>
  </si>
  <si>
    <t>S. secondo di Pinerolo</t>
  </si>
  <si>
    <t>FrankFurt, Germania</t>
  </si>
  <si>
    <t>2 Tshirt</t>
  </si>
  <si>
    <t>martyna4172</t>
  </si>
  <si>
    <t>Ups</t>
  </si>
  <si>
    <t>ANNULLATO</t>
  </si>
  <si>
    <t>Tipo Saldo</t>
  </si>
  <si>
    <t>Tot €</t>
  </si>
  <si>
    <t>N°</t>
  </si>
  <si>
    <t>Carnaxide, Portogsllo</t>
  </si>
  <si>
    <t>T-shirt Loose Fit Snoopy</t>
  </si>
  <si>
    <t>jorgea92</t>
  </si>
  <si>
    <t>InPost</t>
  </si>
  <si>
    <t>CONSEGNATO</t>
  </si>
  <si>
    <t>venerdì, 14/02/2025</t>
  </si>
  <si>
    <t>Tshirt superpapà</t>
  </si>
  <si>
    <t xml:space="preserve"> IN SOSPESO</t>
  </si>
  <si>
    <t>Novara</t>
  </si>
  <si>
    <t>DragonBall 7 mini Figure</t>
  </si>
  <si>
    <t>niko230393</t>
  </si>
  <si>
    <t>Poste Italiane</t>
  </si>
  <si>
    <t>ONLINE</t>
  </si>
  <si>
    <t>Bizzarone(CO)</t>
  </si>
  <si>
    <t>2 Mini macchine cricchetto+red</t>
  </si>
  <si>
    <t>plclerici</t>
  </si>
  <si>
    <t>A MANO</t>
  </si>
  <si>
    <t>giovedì, 20/02/2025</t>
  </si>
  <si>
    <t>Ancona</t>
  </si>
  <si>
    <t>Saetta Blu</t>
  </si>
  <si>
    <t>axaelena</t>
  </si>
  <si>
    <t xml:space="preserve"> DA CONSEGNARE</t>
  </si>
  <si>
    <t>Roma</t>
  </si>
  <si>
    <t>2 Macchine saetta + ramone</t>
  </si>
  <si>
    <t>almacom1980</t>
  </si>
  <si>
    <t>DA RITIRARE</t>
  </si>
  <si>
    <t>Trieste</t>
  </si>
  <si>
    <t>2 Mini macchine saetta</t>
  </si>
  <si>
    <t>spendopoco80</t>
  </si>
  <si>
    <t xml:space="preserve">TOTALE   </t>
  </si>
  <si>
    <t>Millesimo</t>
  </si>
  <si>
    <t>4 Mini macchine</t>
  </si>
  <si>
    <t>quadrifoglio15</t>
  </si>
  <si>
    <t>TOTALE - ANNULLATI</t>
  </si>
  <si>
    <t>Calais, Francia</t>
  </si>
  <si>
    <t>2 figure Wednesday + cubo rubick</t>
  </si>
  <si>
    <t>ni_bi_ru</t>
  </si>
  <si>
    <t>BRT</t>
  </si>
  <si>
    <t>martedì, 18/02/2025</t>
  </si>
  <si>
    <t>Napoli</t>
  </si>
  <si>
    <t>Cartuccia nero</t>
  </si>
  <si>
    <t>solelibero</t>
  </si>
  <si>
    <t>Periodo</t>
  </si>
  <si>
    <t>Quantità</t>
  </si>
  <si>
    <t>Media</t>
  </si>
  <si>
    <t>Reggio Emilia</t>
  </si>
  <si>
    <t>Cartuccia colore</t>
  </si>
  <si>
    <t>elenasimonini</t>
  </si>
  <si>
    <t>Settimane</t>
  </si>
  <si>
    <t>X vendita</t>
  </si>
  <si>
    <t>X giorno</t>
  </si>
  <si>
    <t>Bras, Belgio</t>
  </si>
  <si>
    <t>T-shirt bianca Tena</t>
  </si>
  <si>
    <t>val6800</t>
  </si>
  <si>
    <t>Prima settimana</t>
  </si>
  <si>
    <t>27gen -  01feb</t>
  </si>
  <si>
    <t>Arcore(MI)</t>
  </si>
  <si>
    <t>Dimetrodon + Spinosaurus</t>
  </si>
  <si>
    <t>thedraconids</t>
  </si>
  <si>
    <t>DA CONSEGNARE</t>
  </si>
  <si>
    <t>Seconda settimana</t>
  </si>
  <si>
    <t>03feb -  08feb</t>
  </si>
  <si>
    <t>Roletto</t>
  </si>
  <si>
    <t>Tshirt newyork white</t>
  </si>
  <si>
    <t>xxyoloxx2880</t>
  </si>
  <si>
    <t>A mano</t>
  </si>
  <si>
    <t>CONSEGNATO A MANO</t>
  </si>
  <si>
    <t>Terza settimana</t>
  </si>
  <si>
    <t>10feb -  15feb</t>
  </si>
  <si>
    <t>mercoledì, 19/02/2025</t>
  </si>
  <si>
    <t>Loranzè(TO)</t>
  </si>
  <si>
    <t>5 dinofroz</t>
  </si>
  <si>
    <t>gharreyz</t>
  </si>
  <si>
    <t>Quarta settimana</t>
  </si>
  <si>
    <t>17feb -  22feb</t>
  </si>
  <si>
    <t>venerdì, 21/02/2025</t>
  </si>
  <si>
    <t>Monpazier, Francia</t>
  </si>
  <si>
    <t>2 cartucce hp 62 xl</t>
  </si>
  <si>
    <t>jackmonpaz</t>
  </si>
  <si>
    <t>Quinta settimana</t>
  </si>
  <si>
    <t>24feb - 01mar</t>
  </si>
  <si>
    <t>lunedì, 24/02/2025</t>
  </si>
  <si>
    <t>martedì, 25/02/2025</t>
  </si>
  <si>
    <t>3 pacchi di terea</t>
  </si>
  <si>
    <t>lollo rosani</t>
  </si>
  <si>
    <t>Cartuccia</t>
  </si>
  <si>
    <t>Prezzo</t>
  </si>
  <si>
    <t>300black+300color</t>
  </si>
  <si>
    <t>Pacco pronto!! Domani prima di andare a lavoro lo spedisco😊​</t>
  </si>
  <si>
    <t>Pacco spedito!! Ci sentiamo all'arrivo😊​</t>
  </si>
  <si>
    <t>Ho aggiunto altri modellini se eri interessato/a maggiormente a quelli😊​</t>
  </si>
  <si>
    <t>É arrivato!! Mi faccia sapere😊​</t>
  </si>
  <si>
    <t>Spero sia soddisfatto/a del prodotto. Le chiedo una piccola recensione per aiutare il mio profilo. Grazie ancora per aver acquistato da me😊​</t>
  </si>
  <si>
    <t>Ciao NOME, se hai bisogno di qualche info sono qui. Ti consiglio di guardare il mio profilo così se c'è altro che ti interessa possiamo fare un pacchetto unico😊</t>
  </si>
  <si>
    <t>​Ho per esempio altre modellini di Cars, mariokart e Action figure varie.</t>
  </si>
  <si>
    <t>Se le interessano modellini specifici, chieda pure che vedo se posso trovarglieli.</t>
  </si>
  <si>
    <t>​Ho per esempio altre t-shirt con stampe di vari colori.</t>
  </si>
  <si>
    <t>Grazie per aver acquistato da me!!😊</t>
  </si>
  <si>
    <t>Categoria</t>
  </si>
  <si>
    <t>Iniaziale</t>
  </si>
  <si>
    <t>Intermedia</t>
  </si>
  <si>
    <t>Finale</t>
  </si>
  <si>
    <t>Ricerca</t>
  </si>
  <si>
    <t>giovedì, 27/02/2025</t>
  </si>
  <si>
    <t>il_coni</t>
  </si>
  <si>
    <t>Cartuccia hp 62 xl colore</t>
  </si>
  <si>
    <t>Villafranca di Verona</t>
  </si>
  <si>
    <t>Mese</t>
  </si>
  <si>
    <t xml:space="preserve">Durata </t>
  </si>
  <si>
    <t>301black+301color</t>
  </si>
  <si>
    <t>303black+303color</t>
  </si>
  <si>
    <t>953 xl nero</t>
  </si>
  <si>
    <t>953 xl magenta</t>
  </si>
  <si>
    <t>953 xl giallo</t>
  </si>
  <si>
    <t>953 xl blu</t>
  </si>
  <si>
    <t>305+305 20 --&gt; 27,99</t>
  </si>
  <si>
    <t>302+302 18 --&gt; 22,99</t>
  </si>
  <si>
    <t>903 xl nero</t>
  </si>
  <si>
    <t>Guadagno</t>
  </si>
  <si>
    <t>TOTALE VINTED</t>
  </si>
  <si>
    <t>Giorni Lavorativi</t>
  </si>
  <si>
    <t>mercoledì, 26/02/2025</t>
  </si>
  <si>
    <t>sabato, 01/02/2025</t>
  </si>
  <si>
    <t>Matera</t>
  </si>
  <si>
    <t>62 xl nero</t>
  </si>
  <si>
    <t>baliano</t>
  </si>
  <si>
    <t>Le interessa avere una prova video della creazione del pacco? Posso se vuole linkarle il video visibile soltanto per lei. Se è interessato/a mi faccia sapere  che provvederò al caricamento😊​</t>
  </si>
  <si>
    <t>martedì, 03/03/2025</t>
  </si>
  <si>
    <t>S. Giorgio del Sannio(NA)</t>
  </si>
  <si>
    <t>2 dinofroz</t>
  </si>
  <si>
    <t>vereor4</t>
  </si>
  <si>
    <t>10mar -  15mar</t>
  </si>
  <si>
    <t>17mar -  22mar</t>
  </si>
  <si>
    <t>03mar -  08mar</t>
  </si>
  <si>
    <t>24mar - 29mar</t>
  </si>
  <si>
    <t>31mar - 05apr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</si>
</sst>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_-* #,##0.00\ [$€-410]_-;\-* #,##0.00\ [$€-410]_-;_-* &quot;-&quot;??\ [$€-410]_-;_-@"/>
    <numFmt numFmtId="165" formatCode="dddd\,\ dd/mm/yyyy"/>
    <numFmt numFmtId="166" formatCode="#,##0.00\ &quot;€&quot;"/>
    <numFmt numFmtId="167" formatCode="d/m/yyyy"/>
  </numFmts>
  <fonts count="18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1F3864"/>
      <name val="Calibri"/>
    </font>
    <font>
      <sz val="12"/>
      <color rgb="FF1F3864"/>
      <name val="Arial"/>
    </font>
    <font>
      <sz val="11"/>
      <color theme="0"/>
      <name val="Calibri"/>
    </font>
    <font>
      <sz val="12"/>
      <color theme="1"/>
      <name val="Arial"/>
    </font>
    <font>
      <sz val="11"/>
      <color rgb="FFFF0000"/>
      <name val="Calibri"/>
    </font>
    <font>
      <sz val="11"/>
      <name val="Calibri"/>
    </font>
    <font>
      <sz val="14"/>
      <color theme="0"/>
      <name val="Overlock"/>
    </font>
    <font>
      <sz val="10"/>
      <color theme="1"/>
      <name val="Overlock"/>
    </font>
    <font>
      <sz val="11"/>
      <color theme="1"/>
      <name val="Calibri"/>
      <family val="2"/>
    </font>
    <font>
      <sz val="8"/>
      <name val="Calibri"/>
      <scheme val="minor"/>
    </font>
    <font>
      <sz val="11"/>
      <color theme="0"/>
      <name val="Calibri"/>
      <family val="2"/>
      <scheme val="minor"/>
    </font>
    <font>
      <sz val="16"/>
      <color theme="1"/>
      <name val="Berlin Sans FB"/>
      <family val="2"/>
    </font>
    <font>
      <sz val="22"/>
      <color theme="0"/>
      <name val="Overlock"/>
    </font>
    <font>
      <sz val="8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9CC2E5"/>
        <bgColor rgb="FF9CC2E5"/>
      </patternFill>
    </fill>
    <fill>
      <patternFill patternType="solid">
        <fgColor rgb="FF2E75B5"/>
        <bgColor rgb="FF2E75B5"/>
      </patternFill>
    </fill>
    <fill>
      <patternFill patternType="solid">
        <fgColor rgb="FF00B0F0"/>
        <bgColor rgb="FF00B0F0"/>
      </patternFill>
    </fill>
    <fill>
      <patternFill patternType="solid">
        <fgColor rgb="FFA5A5A5"/>
        <bgColor rgb="FFA5A5A5"/>
      </patternFill>
    </fill>
    <fill>
      <patternFill patternType="solid">
        <fgColor rgb="FFE4E4E4"/>
        <bgColor rgb="FFE4E4E4"/>
      </patternFill>
    </fill>
    <fill>
      <patternFill patternType="solid">
        <fgColor theme="5"/>
        <bgColor theme="5"/>
      </patternFill>
    </fill>
    <fill>
      <patternFill patternType="solid">
        <fgColor rgb="FFF4B083"/>
        <bgColor rgb="FFF4B083"/>
      </patternFill>
    </fill>
    <fill>
      <patternFill patternType="solid">
        <fgColor theme="9"/>
        <bgColor theme="9"/>
      </patternFill>
    </fill>
    <fill>
      <patternFill patternType="solid">
        <fgColor rgb="FFA8D08D"/>
        <bgColor rgb="FFA8D08D"/>
      </patternFill>
    </fill>
    <fill>
      <patternFill patternType="solid">
        <fgColor rgb="FFFF0000"/>
        <bgColor rgb="FFFF0000"/>
      </patternFill>
    </fill>
    <fill>
      <patternFill patternType="solid">
        <fgColor rgb="FFFF7979"/>
        <bgColor rgb="FFFF7979"/>
      </patternFill>
    </fill>
    <fill>
      <patternFill patternType="solid">
        <fgColor rgb="FFFFFF00"/>
        <bgColor rgb="FFFFFF00"/>
      </patternFill>
    </fill>
    <fill>
      <patternFill patternType="solid">
        <fgColor rgb="FFFFD965"/>
        <bgColor rgb="FFFFD965"/>
      </patternFill>
    </fill>
    <fill>
      <patternFill patternType="solid">
        <fgColor rgb="FF2F5496"/>
        <bgColor rgb="FF2F5496"/>
      </patternFill>
    </fill>
    <fill>
      <patternFill patternType="solid">
        <fgColor rgb="FFB4C6E7"/>
        <bgColor rgb="FFB4C6E7"/>
      </patternFill>
    </fill>
    <fill>
      <patternFill patternType="solid">
        <fgColor rgb="FFBDD6EE"/>
        <bgColor rgb="FFBDD6EE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rgb="FF000000"/>
      </left>
      <right style="thick">
        <color auto="1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auto="1"/>
      </right>
      <top/>
      <bottom style="thin">
        <color rgb="FF000000"/>
      </bottom>
      <diagonal/>
    </border>
    <border>
      <left style="thin">
        <color rgb="FF000000"/>
      </left>
      <right style="thick">
        <color auto="1"/>
      </right>
      <top style="thin">
        <color rgb="FF000000"/>
      </top>
      <bottom style="thin">
        <color rgb="FF000000"/>
      </bottom>
      <diagonal/>
    </border>
    <border>
      <left/>
      <right style="thick">
        <color auto="1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ck">
        <color auto="1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rgb="FF000000"/>
      </left>
      <right style="thick">
        <color rgb="FF000000"/>
      </right>
      <top style="thick">
        <color indexed="64"/>
      </top>
      <bottom style="thin">
        <color rgb="FF000000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ck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indexed="64"/>
      </bottom>
      <diagonal/>
    </border>
    <border>
      <left/>
      <right/>
      <top style="thick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ck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indexed="64"/>
      </left>
      <right/>
      <top/>
      <bottom/>
      <diagonal/>
    </border>
    <border>
      <left style="thick">
        <color auto="1"/>
      </left>
      <right style="thin">
        <color indexed="64"/>
      </right>
      <top style="thick">
        <color auto="1"/>
      </top>
      <bottom style="thin">
        <color indexed="64"/>
      </bottom>
      <diagonal/>
    </border>
    <border>
      <left/>
      <right style="thin">
        <color rgb="FF000000"/>
      </right>
      <top style="thick">
        <color auto="1"/>
      </top>
      <bottom style="thin">
        <color rgb="FF000000"/>
      </bottom>
      <diagonal/>
    </border>
    <border>
      <left style="thin">
        <color rgb="FF000000"/>
      </left>
      <right/>
      <top style="thick">
        <color auto="1"/>
      </top>
      <bottom style="thin">
        <color rgb="FF000000"/>
      </bottom>
      <diagonal/>
    </border>
    <border>
      <left/>
      <right style="thick">
        <color auto="1"/>
      </right>
      <top style="thick">
        <color auto="1"/>
      </top>
      <bottom style="thin">
        <color rgb="FF000000"/>
      </bottom>
      <diagonal/>
    </border>
    <border>
      <left style="thick">
        <color auto="1"/>
      </left>
      <right style="thin">
        <color rgb="FF000000"/>
      </right>
      <top/>
      <bottom style="thick">
        <color rgb="FF000000"/>
      </bottom>
      <diagonal/>
    </border>
    <border>
      <left style="thick">
        <color auto="1"/>
      </left>
      <right style="thin">
        <color indexed="64"/>
      </right>
      <top/>
      <bottom style="thick">
        <color indexed="64"/>
      </bottom>
      <diagonal/>
    </border>
    <border>
      <left style="thin">
        <color rgb="FF000000"/>
      </left>
      <right style="thick">
        <color auto="1"/>
      </right>
      <top style="thin">
        <color rgb="FF000000"/>
      </top>
      <bottom style="thick">
        <color indexed="64"/>
      </bottom>
      <diagonal/>
    </border>
    <border>
      <left style="thick">
        <color auto="1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auto="1"/>
      </right>
      <top style="thick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ck">
        <color auto="1"/>
      </bottom>
      <diagonal/>
    </border>
    <border>
      <left style="thin">
        <color rgb="FF000000"/>
      </left>
      <right style="thick">
        <color auto="1"/>
      </right>
      <top/>
      <bottom style="thick">
        <color auto="1"/>
      </bottom>
      <diagonal/>
    </border>
    <border>
      <left style="thick">
        <color rgb="FF000000"/>
      </left>
      <right style="thin">
        <color rgb="FF000000"/>
      </right>
      <top style="thick">
        <color indexed="64"/>
      </top>
      <bottom style="thick">
        <color auto="1"/>
      </bottom>
      <diagonal/>
    </border>
    <border>
      <left/>
      <right style="thick">
        <color rgb="FF000000"/>
      </right>
      <top style="thick">
        <color indexed="64"/>
      </top>
      <bottom/>
      <diagonal/>
    </border>
  </borders>
  <cellStyleXfs count="1">
    <xf numFmtId="0" fontId="0" fillId="0" borderId="0"/>
  </cellStyleXfs>
  <cellXfs count="165">
    <xf numFmtId="0" fontId="0" fillId="0" borderId="0" xfId="0"/>
    <xf numFmtId="49" fontId="3" fillId="0" borderId="0" xfId="0" applyNumberFormat="1" applyFont="1"/>
    <xf numFmtId="0" fontId="6" fillId="5" borderId="2" xfId="0" applyFont="1" applyFill="1" applyBorder="1"/>
    <xf numFmtId="164" fontId="3" fillId="0" borderId="2" xfId="0" applyNumberFormat="1" applyFont="1" applyBorder="1"/>
    <xf numFmtId="0" fontId="6" fillId="4" borderId="2" xfId="0" applyFont="1" applyFill="1" applyBorder="1"/>
    <xf numFmtId="0" fontId="8" fillId="0" borderId="0" xfId="0" applyFont="1"/>
    <xf numFmtId="0" fontId="3" fillId="0" borderId="0" xfId="0" applyFont="1" applyAlignment="1">
      <alignment horizontal="center" vertical="center"/>
    </xf>
    <xf numFmtId="165" fontId="11" fillId="0" borderId="5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165" fontId="11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66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166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166" fontId="3" fillId="11" borderId="1" xfId="0" applyNumberFormat="1" applyFont="1" applyFill="1" applyBorder="1" applyAlignment="1">
      <alignment horizontal="center" vertical="center"/>
    </xf>
    <xf numFmtId="165" fontId="11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166" fontId="3" fillId="13" borderId="1" xfId="0" applyNumberFormat="1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166" fontId="3" fillId="15" borderId="1" xfId="0" applyNumberFormat="1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166" fontId="3" fillId="17" borderId="1" xfId="0" applyNumberFormat="1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49" fontId="3" fillId="4" borderId="10" xfId="0" applyNumberFormat="1" applyFont="1" applyFill="1" applyBorder="1"/>
    <xf numFmtId="0" fontId="3" fillId="4" borderId="11" xfId="0" applyFont="1" applyFill="1" applyBorder="1"/>
    <xf numFmtId="0" fontId="3" fillId="4" borderId="12" xfId="0" applyFont="1" applyFill="1" applyBorder="1"/>
    <xf numFmtId="49" fontId="4" fillId="5" borderId="13" xfId="0" applyNumberFormat="1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0" fontId="4" fillId="5" borderId="9" xfId="0" applyFont="1" applyFill="1" applyBorder="1" applyAlignment="1">
      <alignment horizontal="center"/>
    </xf>
    <xf numFmtId="0" fontId="4" fillId="5" borderId="14" xfId="0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 vertical="center" wrapText="1"/>
    </xf>
    <xf numFmtId="49" fontId="3" fillId="3" borderId="13" xfId="0" applyNumberFormat="1" applyFont="1" applyFill="1" applyBorder="1" applyAlignment="1">
      <alignment horizontal="center"/>
    </xf>
    <xf numFmtId="0" fontId="7" fillId="3" borderId="9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49" fontId="6" fillId="4" borderId="15" xfId="0" applyNumberFormat="1" applyFont="1" applyFill="1" applyBorder="1" applyAlignment="1">
      <alignment horizontal="center"/>
    </xf>
    <xf numFmtId="49" fontId="6" fillId="4" borderId="16" xfId="0" applyNumberFormat="1" applyFont="1" applyFill="1" applyBorder="1" applyAlignment="1">
      <alignment horizontal="center"/>
    </xf>
    <xf numFmtId="0" fontId="6" fillId="4" borderId="16" xfId="0" applyFont="1" applyFill="1" applyBorder="1" applyAlignment="1">
      <alignment horizontal="center"/>
    </xf>
    <xf numFmtId="0" fontId="6" fillId="4" borderId="17" xfId="0" applyFont="1" applyFill="1" applyBorder="1" applyAlignment="1">
      <alignment horizontal="center"/>
    </xf>
    <xf numFmtId="0" fontId="3" fillId="11" borderId="6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65" fontId="11" fillId="0" borderId="11" xfId="0" applyNumberFormat="1" applyFont="1" applyBorder="1" applyAlignment="1">
      <alignment horizontal="center" vertical="center"/>
    </xf>
    <xf numFmtId="166" fontId="12" fillId="0" borderId="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3" borderId="18" xfId="0" applyFont="1" applyFill="1" applyBorder="1"/>
    <xf numFmtId="0" fontId="3" fillId="0" borderId="18" xfId="0" applyFont="1" applyBorder="1"/>
    <xf numFmtId="0" fontId="3" fillId="0" borderId="19" xfId="0" applyFont="1" applyBorder="1"/>
    <xf numFmtId="0" fontId="3" fillId="3" borderId="20" xfId="0" applyFont="1" applyFill="1" applyBorder="1"/>
    <xf numFmtId="0" fontId="3" fillId="3" borderId="21" xfId="0" applyFont="1" applyFill="1" applyBorder="1"/>
    <xf numFmtId="0" fontId="3" fillId="3" borderId="23" xfId="0" applyFont="1" applyFill="1" applyBorder="1"/>
    <xf numFmtId="0" fontId="3" fillId="0" borderId="24" xfId="0" applyFont="1" applyBorder="1"/>
    <xf numFmtId="0" fontId="3" fillId="3" borderId="24" xfId="0" applyFont="1" applyFill="1" applyBorder="1"/>
    <xf numFmtId="0" fontId="3" fillId="0" borderId="22" xfId="0" applyFont="1" applyBorder="1"/>
    <xf numFmtId="0" fontId="0" fillId="19" borderId="23" xfId="0" applyFill="1" applyBorder="1"/>
    <xf numFmtId="0" fontId="3" fillId="19" borderId="24" xfId="0" applyFont="1" applyFill="1" applyBorder="1"/>
    <xf numFmtId="0" fontId="3" fillId="19" borderId="23" xfId="0" applyFont="1" applyFill="1" applyBorder="1"/>
    <xf numFmtId="0" fontId="3" fillId="19" borderId="25" xfId="0" applyFont="1" applyFill="1" applyBorder="1"/>
    <xf numFmtId="0" fontId="15" fillId="2" borderId="19" xfId="0" applyFont="1" applyFill="1" applyBorder="1" applyAlignment="1">
      <alignment horizontal="center"/>
    </xf>
    <xf numFmtId="0" fontId="15" fillId="2" borderId="22" xfId="0" applyFont="1" applyFill="1" applyBorder="1" applyAlignment="1">
      <alignment horizontal="center"/>
    </xf>
    <xf numFmtId="0" fontId="2" fillId="0" borderId="0" xfId="0" applyFont="1"/>
    <xf numFmtId="0" fontId="3" fillId="0" borderId="7" xfId="0" applyFont="1" applyBorder="1" applyAlignment="1">
      <alignment horizontal="center" vertical="center"/>
    </xf>
    <xf numFmtId="0" fontId="3" fillId="18" borderId="7" xfId="0" applyFont="1" applyFill="1" applyBorder="1" applyAlignment="1">
      <alignment horizontal="center" vertical="center"/>
    </xf>
    <xf numFmtId="0" fontId="3" fillId="18" borderId="5" xfId="0" applyFont="1" applyFill="1" applyBorder="1" applyAlignment="1">
      <alignment horizontal="center" vertical="center"/>
    </xf>
    <xf numFmtId="0" fontId="3" fillId="18" borderId="4" xfId="0" applyFont="1" applyFill="1" applyBorder="1" applyAlignment="1">
      <alignment horizontal="center" vertical="center"/>
    </xf>
    <xf numFmtId="0" fontId="11" fillId="0" borderId="27" xfId="0" applyFont="1" applyBorder="1" applyAlignment="1">
      <alignment horizontal="center" vertical="center"/>
    </xf>
    <xf numFmtId="0" fontId="11" fillId="0" borderId="28" xfId="0" applyFont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0" fillId="5" borderId="30" xfId="0" applyFont="1" applyFill="1" applyBorder="1" applyAlignment="1">
      <alignment horizontal="center" vertical="center"/>
    </xf>
    <xf numFmtId="0" fontId="10" fillId="5" borderId="31" xfId="0" applyFont="1" applyFill="1" applyBorder="1" applyAlignment="1">
      <alignment horizontal="center" vertical="center"/>
    </xf>
    <xf numFmtId="166" fontId="12" fillId="20" borderId="1" xfId="0" applyNumberFormat="1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166" fontId="3" fillId="20" borderId="1" xfId="0" applyNumberFormat="1" applyFont="1" applyFill="1" applyBorder="1" applyAlignment="1">
      <alignment horizontal="center" vertical="center"/>
    </xf>
    <xf numFmtId="0" fontId="14" fillId="22" borderId="9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0" fillId="21" borderId="9" xfId="0" applyFill="1" applyBorder="1" applyAlignment="1">
      <alignment horizontal="center" vertical="center"/>
    </xf>
    <xf numFmtId="0" fontId="0" fillId="22" borderId="9" xfId="0" applyFill="1" applyBorder="1" applyAlignment="1">
      <alignment horizontal="center" vertical="center"/>
    </xf>
    <xf numFmtId="0" fontId="0" fillId="19" borderId="9" xfId="0" applyFill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11" fillId="0" borderId="33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3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23" borderId="37" xfId="0" applyFont="1" applyFill="1" applyBorder="1" applyAlignment="1">
      <alignment horizontal="center" vertical="center" wrapText="1"/>
    </xf>
    <xf numFmtId="0" fontId="1" fillId="23" borderId="37" xfId="0" applyFont="1" applyFill="1" applyBorder="1" applyAlignment="1">
      <alignment vertical="center" wrapText="1"/>
    </xf>
    <xf numFmtId="0" fontId="1" fillId="23" borderId="19" xfId="0" applyFont="1" applyFill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/>
    </xf>
    <xf numFmtId="0" fontId="12" fillId="0" borderId="36" xfId="0" applyFont="1" applyBorder="1" applyAlignment="1">
      <alignment horizontal="center" vertical="center"/>
    </xf>
    <xf numFmtId="0" fontId="0" fillId="0" borderId="9" xfId="0" applyBorder="1"/>
    <xf numFmtId="0" fontId="3" fillId="20" borderId="3" xfId="0" applyFont="1" applyFill="1" applyBorder="1" applyAlignment="1">
      <alignment horizontal="center" vertical="center"/>
    </xf>
    <xf numFmtId="0" fontId="3" fillId="20" borderId="9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18" borderId="1" xfId="0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166" fontId="12" fillId="0" borderId="41" xfId="0" applyNumberFormat="1" applyFont="1" applyBorder="1" applyAlignment="1">
      <alignment horizontal="center" vertical="center"/>
    </xf>
    <xf numFmtId="166" fontId="3" fillId="0" borderId="41" xfId="0" applyNumberFormat="1" applyFont="1" applyBorder="1" applyAlignment="1">
      <alignment horizontal="center" vertical="center"/>
    </xf>
    <xf numFmtId="0" fontId="3" fillId="20" borderId="42" xfId="0" applyFont="1" applyFill="1" applyBorder="1" applyAlignment="1">
      <alignment horizontal="center" vertical="center"/>
    </xf>
    <xf numFmtId="0" fontId="12" fillId="18" borderId="43" xfId="0" applyFont="1" applyFill="1" applyBorder="1" applyAlignment="1">
      <alignment horizontal="center" vertical="center"/>
    </xf>
    <xf numFmtId="166" fontId="12" fillId="20" borderId="43" xfId="0" applyNumberFormat="1" applyFont="1" applyFill="1" applyBorder="1" applyAlignment="1">
      <alignment horizontal="center" vertical="center"/>
    </xf>
    <xf numFmtId="0" fontId="12" fillId="20" borderId="43" xfId="0" applyFont="1" applyFill="1" applyBorder="1" applyAlignment="1">
      <alignment horizontal="center" vertical="center"/>
    </xf>
    <xf numFmtId="0" fontId="3" fillId="20" borderId="44" xfId="0" applyFont="1" applyFill="1" applyBorder="1" applyAlignment="1">
      <alignment horizontal="center" vertical="center"/>
    </xf>
    <xf numFmtId="0" fontId="1" fillId="20" borderId="37" xfId="0" applyFont="1" applyFill="1" applyBorder="1" applyAlignment="1">
      <alignment horizontal="center"/>
    </xf>
    <xf numFmtId="0" fontId="0" fillId="20" borderId="37" xfId="0" applyFill="1" applyBorder="1"/>
    <xf numFmtId="0" fontId="3" fillId="0" borderId="45" xfId="0" applyFont="1" applyBorder="1" applyAlignment="1">
      <alignment horizontal="center" vertical="center"/>
    </xf>
    <xf numFmtId="166" fontId="12" fillId="0" borderId="5" xfId="0" applyNumberFormat="1" applyFont="1" applyBorder="1" applyAlignment="1">
      <alignment horizontal="center" vertical="center"/>
    </xf>
    <xf numFmtId="166" fontId="3" fillId="0" borderId="5" xfId="0" applyNumberFormat="1" applyFont="1" applyBorder="1" applyAlignment="1">
      <alignment horizontal="center" vertical="center"/>
    </xf>
    <xf numFmtId="0" fontId="6" fillId="5" borderId="30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0" fontId="6" fillId="5" borderId="51" xfId="0" applyFont="1" applyFill="1" applyBorder="1" applyAlignment="1">
      <alignment horizontal="center" vertical="center"/>
    </xf>
    <xf numFmtId="0" fontId="6" fillId="5" borderId="26" xfId="0" applyFont="1" applyFill="1" applyBorder="1" applyAlignment="1">
      <alignment horizontal="center" vertical="center"/>
    </xf>
    <xf numFmtId="166" fontId="3" fillId="0" borderId="27" xfId="0" applyNumberFormat="1" applyFont="1" applyBorder="1" applyAlignment="1">
      <alignment horizontal="center" vertical="center"/>
    </xf>
    <xf numFmtId="166" fontId="3" fillId="18" borderId="28" xfId="0" applyNumberFormat="1" applyFont="1" applyFill="1" applyBorder="1" applyAlignment="1">
      <alignment horizontal="center" vertical="center"/>
    </xf>
    <xf numFmtId="166" fontId="3" fillId="0" borderId="28" xfId="0" applyNumberFormat="1" applyFont="1" applyBorder="1" applyAlignment="1">
      <alignment horizontal="center" vertical="center"/>
    </xf>
    <xf numFmtId="166" fontId="3" fillId="0" borderId="53" xfId="0" applyNumberFormat="1" applyFont="1" applyBorder="1" applyAlignment="1">
      <alignment horizontal="center" vertical="center"/>
    </xf>
    <xf numFmtId="166" fontId="12" fillId="18" borderId="55" xfId="0" applyNumberFormat="1" applyFont="1" applyFill="1" applyBorder="1" applyAlignment="1">
      <alignment horizontal="center" vertical="center"/>
    </xf>
    <xf numFmtId="0" fontId="0" fillId="0" borderId="18" xfId="0" applyBorder="1"/>
    <xf numFmtId="0" fontId="3" fillId="20" borderId="18" xfId="0" applyFont="1" applyFill="1" applyBorder="1" applyAlignment="1">
      <alignment horizontal="center" vertical="center"/>
    </xf>
    <xf numFmtId="0" fontId="0" fillId="20" borderId="19" xfId="0" applyFill="1" applyBorder="1"/>
    <xf numFmtId="0" fontId="3" fillId="0" borderId="56" xfId="0" applyFont="1" applyBorder="1" applyAlignment="1">
      <alignment horizontal="center" vertical="center"/>
    </xf>
    <xf numFmtId="166" fontId="3" fillId="0" borderId="56" xfId="0" applyNumberFormat="1" applyFont="1" applyBorder="1" applyAlignment="1">
      <alignment horizontal="center" vertical="center"/>
    </xf>
    <xf numFmtId="166" fontId="3" fillId="0" borderId="57" xfId="0" applyNumberFormat="1" applyFont="1" applyBorder="1" applyAlignment="1">
      <alignment horizontal="center" vertical="center"/>
    </xf>
    <xf numFmtId="0" fontId="3" fillId="0" borderId="58" xfId="0" applyFont="1" applyBorder="1" applyAlignment="1">
      <alignment horizontal="center" vertical="center"/>
    </xf>
    <xf numFmtId="0" fontId="3" fillId="0" borderId="59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0" xfId="0"/>
    <xf numFmtId="0" fontId="3" fillId="20" borderId="54" xfId="0" applyFont="1" applyFill="1" applyBorder="1" applyAlignment="1">
      <alignment horizontal="center" vertical="center"/>
    </xf>
    <xf numFmtId="0" fontId="3" fillId="20" borderId="39" xfId="0" applyFont="1" applyFill="1" applyBorder="1" applyAlignment="1">
      <alignment horizontal="center" vertical="center"/>
    </xf>
    <xf numFmtId="0" fontId="3" fillId="20" borderId="52" xfId="0" applyFont="1" applyFill="1" applyBorder="1" applyAlignment="1">
      <alignment horizontal="center" vertical="center"/>
    </xf>
    <xf numFmtId="0" fontId="6" fillId="5" borderId="47" xfId="0" applyFont="1" applyFill="1" applyBorder="1" applyAlignment="1">
      <alignment horizontal="center" vertical="center"/>
    </xf>
    <xf numFmtId="0" fontId="6" fillId="5" borderId="43" xfId="0" applyFont="1" applyFill="1" applyBorder="1" applyAlignment="1">
      <alignment horizontal="center" vertical="center"/>
    </xf>
    <xf numFmtId="0" fontId="16" fillId="5" borderId="32" xfId="0" applyFont="1" applyFill="1" applyBorder="1" applyAlignment="1">
      <alignment horizontal="center" vertical="center"/>
    </xf>
    <xf numFmtId="0" fontId="16" fillId="5" borderId="29" xfId="0" applyFont="1" applyFill="1" applyBorder="1" applyAlignment="1">
      <alignment horizontal="center" vertical="center"/>
    </xf>
    <xf numFmtId="0" fontId="6" fillId="5" borderId="42" xfId="0" applyFont="1" applyFill="1" applyBorder="1" applyAlignment="1">
      <alignment horizontal="center" vertical="center"/>
    </xf>
    <xf numFmtId="0" fontId="9" fillId="0" borderId="48" xfId="0" applyFont="1" applyBorder="1"/>
    <xf numFmtId="0" fontId="6" fillId="5" borderId="49" xfId="0" applyFont="1" applyFill="1" applyBorder="1" applyAlignment="1">
      <alignment horizontal="center" vertical="center"/>
    </xf>
    <xf numFmtId="0" fontId="9" fillId="0" borderId="50" xfId="0" applyFont="1" applyBorder="1"/>
  </cellXfs>
  <cellStyles count="1">
    <cellStyle name="Normale" xfId="0" builtinId="0"/>
  </cellStyles>
  <dxfs count="18"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9"/>
          <bgColor theme="9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theme="8"/>
          <bgColor theme="8"/>
        </patternFill>
      </fill>
    </dxf>
  </dxfs>
  <tableStyles count="1">
    <tableStyle name="Foglio2-style" pivot="0" count="3" xr9:uid="{00000000-0011-0000-FFFF-FFFF00000000}">
      <tableStyleElement type="headerRow" dxfId="17"/>
      <tableStyleElement type="firstRowStripe" dxfId="16"/>
      <tableStyleElement type="secondRowStripe" dxfId="1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F8:K23" headerRowDxfId="14" totalsRowDxfId="11" headerRowBorderDxfId="13" tableBorderDxfId="12">
  <tableColumns count="6">
    <tableColumn id="1" xr3:uid="{00000000-0010-0000-0000-000001000000}" name="Codice" dataDxfId="10"/>
    <tableColumn id="2" xr3:uid="{00000000-0010-0000-0000-000002000000}" name="Nome" dataDxfId="9"/>
    <tableColumn id="3" xr3:uid="{00000000-0010-0000-0000-000003000000}" name="Prezzo di mercato" dataDxfId="8"/>
    <tableColumn id="4" xr3:uid="{00000000-0010-0000-0000-000004000000}" name="Mio Prezzo" dataDxfId="7"/>
    <tableColumn id="5" xr3:uid="{00000000-0010-0000-0000-000005000000}" name="Prezzo venduto" dataDxfId="6"/>
    <tableColumn id="6" xr3:uid="{00000000-0010-0000-0000-000006000000}" name="Venduto" dataDxfId="5"/>
  </tableColumns>
  <tableStyleInfo name="Foglio2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4"/>
  <sheetViews>
    <sheetView workbookViewId="0">
      <selection activeCell="C2" sqref="C2"/>
    </sheetView>
  </sheetViews>
  <sheetFormatPr defaultColWidth="14.42578125" defaultRowHeight="15" customHeight="1"/>
  <cols>
    <col min="1" max="1" width="10" bestFit="1" customWidth="1"/>
    <col min="2" max="2" width="14" bestFit="1" customWidth="1"/>
    <col min="3" max="3" width="166" customWidth="1"/>
    <col min="4" max="27" width="8.7109375" customWidth="1"/>
  </cols>
  <sheetData>
    <row r="1" spans="1:3" ht="20.25" thickBot="1">
      <c r="A1" s="75" t="s">
        <v>0</v>
      </c>
      <c r="B1" s="75" t="s">
        <v>167</v>
      </c>
      <c r="C1" s="76" t="s">
        <v>1</v>
      </c>
    </row>
    <row r="2" spans="1:3" ht="15.75" thickTop="1">
      <c r="A2" s="65">
        <v>1</v>
      </c>
      <c r="B2" s="65" t="s">
        <v>168</v>
      </c>
      <c r="C2" s="67" t="s">
        <v>162</v>
      </c>
    </row>
    <row r="3" spans="1:3">
      <c r="A3" s="63">
        <v>2</v>
      </c>
      <c r="B3" s="63" t="s">
        <v>168</v>
      </c>
      <c r="C3" s="68" t="s">
        <v>165</v>
      </c>
    </row>
    <row r="4" spans="1:3">
      <c r="A4" s="62">
        <v>3</v>
      </c>
      <c r="B4" s="62" t="s">
        <v>168</v>
      </c>
      <c r="C4" s="69" t="s">
        <v>163</v>
      </c>
    </row>
    <row r="5" spans="1:3" ht="15.75" thickBot="1">
      <c r="A5" s="64">
        <v>4</v>
      </c>
      <c r="B5" s="64" t="s">
        <v>168</v>
      </c>
      <c r="C5" s="70" t="s">
        <v>164</v>
      </c>
    </row>
    <row r="6" spans="1:3" ht="15.75" thickTop="1">
      <c r="A6" s="65">
        <v>5</v>
      </c>
      <c r="B6" s="65" t="s">
        <v>169</v>
      </c>
      <c r="C6" s="71" t="s">
        <v>166</v>
      </c>
    </row>
    <row r="7" spans="1:3">
      <c r="A7" s="63">
        <v>6</v>
      </c>
      <c r="B7" s="63" t="s">
        <v>169</v>
      </c>
      <c r="C7" s="68" t="s">
        <v>195</v>
      </c>
    </row>
    <row r="8" spans="1:3">
      <c r="A8" s="62">
        <v>7</v>
      </c>
      <c r="B8" s="62" t="s">
        <v>169</v>
      </c>
      <c r="C8" s="72" t="s">
        <v>157</v>
      </c>
    </row>
    <row r="9" spans="1:3" ht="15.75" thickBot="1">
      <c r="A9" s="64">
        <v>8</v>
      </c>
      <c r="B9" s="64" t="s">
        <v>169</v>
      </c>
      <c r="C9" s="70" t="s">
        <v>158</v>
      </c>
    </row>
    <row r="10" spans="1:3" ht="15.75" thickTop="1">
      <c r="A10" s="65">
        <v>9</v>
      </c>
      <c r="B10" s="65" t="s">
        <v>170</v>
      </c>
      <c r="C10" s="73" t="s">
        <v>160</v>
      </c>
    </row>
    <row r="11" spans="1:3" ht="15.75" thickBot="1">
      <c r="A11" s="64">
        <v>10</v>
      </c>
      <c r="B11" s="64" t="s">
        <v>170</v>
      </c>
      <c r="C11" s="70" t="s">
        <v>161</v>
      </c>
    </row>
    <row r="12" spans="1:3" ht="16.5" thickTop="1" thickBot="1">
      <c r="A12" s="66">
        <v>11</v>
      </c>
      <c r="B12" s="66" t="s">
        <v>171</v>
      </c>
      <c r="C12" s="74" t="s">
        <v>159</v>
      </c>
    </row>
    <row r="13" spans="1:3" ht="15" customHeight="1" thickTop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F1:P1000"/>
  <sheetViews>
    <sheetView workbookViewId="0">
      <selection activeCell="O21" sqref="O21"/>
    </sheetView>
  </sheetViews>
  <sheetFormatPr defaultColWidth="14.42578125" defaultRowHeight="15" customHeight="1"/>
  <cols>
    <col min="1" max="5" width="8.7109375" customWidth="1"/>
    <col min="6" max="6" width="17" customWidth="1"/>
    <col min="7" max="7" width="25.7109375" customWidth="1"/>
    <col min="8" max="8" width="18.85546875" customWidth="1"/>
    <col min="9" max="9" width="13.42578125" customWidth="1"/>
    <col min="10" max="10" width="18.28515625" customWidth="1"/>
    <col min="11" max="11" width="11.42578125" customWidth="1"/>
    <col min="12" max="12" width="8.7109375" customWidth="1"/>
    <col min="13" max="13" width="8.5703125" customWidth="1"/>
    <col min="14" max="14" width="8.7109375" customWidth="1"/>
    <col min="15" max="15" width="25.5703125" customWidth="1"/>
    <col min="16" max="26" width="8.7109375" customWidth="1"/>
  </cols>
  <sheetData>
    <row r="1" spans="6:16">
      <c r="F1" s="1"/>
    </row>
    <row r="2" spans="6:16">
      <c r="F2" s="1"/>
    </row>
    <row r="3" spans="6:16">
      <c r="F3" s="1"/>
    </row>
    <row r="4" spans="6:16">
      <c r="F4" s="1"/>
    </row>
    <row r="5" spans="6:16">
      <c r="F5" s="1"/>
      <c r="O5" s="1"/>
    </row>
    <row r="6" spans="6:16">
      <c r="F6" s="1"/>
      <c r="O6" s="1"/>
    </row>
    <row r="7" spans="6:16">
      <c r="F7" s="1"/>
      <c r="O7" s="1"/>
    </row>
    <row r="8" spans="6:16">
      <c r="F8" s="39" t="s">
        <v>2</v>
      </c>
      <c r="G8" s="40" t="s">
        <v>3</v>
      </c>
      <c r="H8" s="40" t="s">
        <v>4</v>
      </c>
      <c r="I8" s="40" t="s">
        <v>5</v>
      </c>
      <c r="J8" s="40" t="s">
        <v>6</v>
      </c>
      <c r="K8" s="41" t="s">
        <v>7</v>
      </c>
    </row>
    <row r="9" spans="6:16" ht="15.75">
      <c r="F9" s="42" t="s">
        <v>8</v>
      </c>
      <c r="G9" s="43" t="s">
        <v>9</v>
      </c>
      <c r="H9" s="44">
        <v>10</v>
      </c>
      <c r="I9" s="44">
        <f t="shared" ref="I9:I22" si="0">IF(H9=15,(H9-5)/2,H9/2-1)</f>
        <v>4</v>
      </c>
      <c r="J9" s="44">
        <v>4</v>
      </c>
      <c r="K9" s="45" t="s">
        <v>10</v>
      </c>
      <c r="O9" s="2" t="s">
        <v>11</v>
      </c>
      <c r="P9" s="3">
        <f>AVERAGE(I9:I22)</f>
        <v>4.3928571428571432</v>
      </c>
    </row>
    <row r="10" spans="6:16">
      <c r="F10" s="42" t="s">
        <v>12</v>
      </c>
      <c r="G10" s="46" t="s">
        <v>13</v>
      </c>
      <c r="H10" s="44">
        <v>9</v>
      </c>
      <c r="I10" s="44">
        <f t="shared" si="0"/>
        <v>3.5</v>
      </c>
      <c r="J10" s="44">
        <v>3.5</v>
      </c>
      <c r="K10" s="45" t="s">
        <v>10</v>
      </c>
      <c r="O10" s="2" t="s">
        <v>14</v>
      </c>
      <c r="P10" s="3">
        <f>AVERAGE(J13,J15,J10,J9,J18,J17,J21)</f>
        <v>3.7857142857142856</v>
      </c>
    </row>
    <row r="11" spans="6:16">
      <c r="F11" s="42" t="s">
        <v>15</v>
      </c>
      <c r="G11" s="46" t="s">
        <v>16</v>
      </c>
      <c r="H11" s="44">
        <v>9</v>
      </c>
      <c r="I11" s="44">
        <f t="shared" si="0"/>
        <v>3.5</v>
      </c>
      <c r="J11" s="44">
        <v>5</v>
      </c>
      <c r="K11" s="45" t="s">
        <v>10</v>
      </c>
      <c r="O11" s="4" t="s">
        <v>18</v>
      </c>
      <c r="P11" s="3">
        <f>I23-P12</f>
        <v>25</v>
      </c>
    </row>
    <row r="12" spans="6:16">
      <c r="F12" s="47" t="s">
        <v>19</v>
      </c>
      <c r="G12" s="48" t="s">
        <v>20</v>
      </c>
      <c r="H12" s="49">
        <v>15</v>
      </c>
      <c r="I12" s="49">
        <f t="shared" si="0"/>
        <v>5</v>
      </c>
      <c r="J12" s="49"/>
      <c r="K12" s="50" t="s">
        <v>17</v>
      </c>
      <c r="O12" s="4" t="s">
        <v>21</v>
      </c>
      <c r="P12" s="3">
        <f>SUM(I13,I15,I10,I9,I17,I18,I21,I20,I11)</f>
        <v>36.5</v>
      </c>
    </row>
    <row r="13" spans="6:16">
      <c r="F13" s="42" t="s">
        <v>22</v>
      </c>
      <c r="G13" s="46" t="s">
        <v>23</v>
      </c>
      <c r="H13" s="44">
        <v>15</v>
      </c>
      <c r="I13" s="44">
        <f t="shared" si="0"/>
        <v>5</v>
      </c>
      <c r="J13" s="44">
        <v>4.5</v>
      </c>
      <c r="K13" s="45" t="s">
        <v>10</v>
      </c>
      <c r="O13" s="4" t="s">
        <v>24</v>
      </c>
      <c r="P13" s="3">
        <f>SUM(J9:J11,J17:J18,J20:J21,J15,J13,)</f>
        <v>35</v>
      </c>
    </row>
    <row r="14" spans="6:16">
      <c r="F14" s="47" t="s">
        <v>25</v>
      </c>
      <c r="G14" s="48" t="s">
        <v>26</v>
      </c>
      <c r="H14" s="49">
        <v>15</v>
      </c>
      <c r="I14" s="49">
        <f t="shared" si="0"/>
        <v>5</v>
      </c>
      <c r="J14" s="49"/>
      <c r="K14" s="50" t="s">
        <v>17</v>
      </c>
      <c r="O14" s="4" t="s">
        <v>27</v>
      </c>
      <c r="P14" s="3">
        <f>P12-P13</f>
        <v>1.5</v>
      </c>
    </row>
    <row r="15" spans="6:16">
      <c r="F15" s="42" t="s">
        <v>28</v>
      </c>
      <c r="G15" s="46" t="s">
        <v>29</v>
      </c>
      <c r="H15" s="44">
        <v>15</v>
      </c>
      <c r="I15" s="44">
        <f t="shared" si="0"/>
        <v>5</v>
      </c>
      <c r="J15" s="44">
        <v>4</v>
      </c>
      <c r="K15" s="45" t="s">
        <v>10</v>
      </c>
    </row>
    <row r="16" spans="6:16">
      <c r="F16" s="47" t="s">
        <v>30</v>
      </c>
      <c r="G16" s="48" t="s">
        <v>31</v>
      </c>
      <c r="H16" s="49">
        <v>15</v>
      </c>
      <c r="I16" s="49">
        <f t="shared" si="0"/>
        <v>5</v>
      </c>
      <c r="J16" s="49"/>
      <c r="K16" s="50" t="s">
        <v>17</v>
      </c>
    </row>
    <row r="17" spans="6:14">
      <c r="F17" s="42" t="s">
        <v>32</v>
      </c>
      <c r="G17" s="46" t="s">
        <v>33</v>
      </c>
      <c r="H17" s="44">
        <v>9</v>
      </c>
      <c r="I17" s="44">
        <f t="shared" si="0"/>
        <v>3.5</v>
      </c>
      <c r="J17" s="44">
        <v>3.5</v>
      </c>
      <c r="K17" s="45" t="s">
        <v>10</v>
      </c>
    </row>
    <row r="18" spans="6:14">
      <c r="F18" s="42" t="s">
        <v>34</v>
      </c>
      <c r="G18" s="46" t="s">
        <v>35</v>
      </c>
      <c r="H18" s="44">
        <v>9</v>
      </c>
      <c r="I18" s="44">
        <f t="shared" si="0"/>
        <v>3.5</v>
      </c>
      <c r="J18" s="44">
        <v>3.5</v>
      </c>
      <c r="K18" s="45" t="s">
        <v>10</v>
      </c>
    </row>
    <row r="19" spans="6:14">
      <c r="F19" s="47" t="s">
        <v>36</v>
      </c>
      <c r="G19" s="48" t="s">
        <v>37</v>
      </c>
      <c r="H19" s="49">
        <v>15</v>
      </c>
      <c r="I19" s="49">
        <f t="shared" si="0"/>
        <v>5</v>
      </c>
      <c r="J19" s="49"/>
      <c r="K19" s="50" t="s">
        <v>17</v>
      </c>
    </row>
    <row r="20" spans="6:14">
      <c r="F20" s="42" t="s">
        <v>38</v>
      </c>
      <c r="G20" s="46" t="s">
        <v>39</v>
      </c>
      <c r="H20" s="44">
        <v>9</v>
      </c>
      <c r="I20" s="44">
        <f t="shared" si="0"/>
        <v>3.5</v>
      </c>
      <c r="J20" s="44">
        <v>3.5</v>
      </c>
      <c r="K20" s="45" t="s">
        <v>10</v>
      </c>
    </row>
    <row r="21" spans="6:14" ht="15.75" customHeight="1">
      <c r="F21" s="42" t="s">
        <v>40</v>
      </c>
      <c r="G21" s="46" t="s">
        <v>41</v>
      </c>
      <c r="H21" s="44">
        <v>15</v>
      </c>
      <c r="I21" s="44">
        <f t="shared" si="0"/>
        <v>5</v>
      </c>
      <c r="J21" s="44">
        <v>3.5</v>
      </c>
      <c r="K21" s="45" t="s">
        <v>10</v>
      </c>
    </row>
    <row r="22" spans="6:14" ht="15.75" customHeight="1">
      <c r="F22" s="47" t="s">
        <v>42</v>
      </c>
      <c r="G22" s="48" t="s">
        <v>43</v>
      </c>
      <c r="H22" s="49">
        <v>15</v>
      </c>
      <c r="I22" s="49">
        <f t="shared" si="0"/>
        <v>5</v>
      </c>
      <c r="J22" s="49"/>
      <c r="K22" s="50" t="s">
        <v>17</v>
      </c>
      <c r="N22" s="5"/>
    </row>
    <row r="23" spans="6:14" ht="15.75" customHeight="1">
      <c r="F23" s="51" t="s">
        <v>44</v>
      </c>
      <c r="G23" s="52" t="s">
        <v>45</v>
      </c>
      <c r="H23" s="53">
        <f t="shared" ref="H23:J23" si="1">SUM(H9:H22)</f>
        <v>175</v>
      </c>
      <c r="I23" s="53">
        <f t="shared" si="1"/>
        <v>61.5</v>
      </c>
      <c r="J23" s="53">
        <f t="shared" si="1"/>
        <v>35</v>
      </c>
      <c r="K23" s="54">
        <f>COUNTIF(K9:K22, "True")</f>
        <v>9</v>
      </c>
    </row>
    <row r="24" spans="6:14" ht="15.75" customHeight="1">
      <c r="F24" s="152" t="s">
        <v>46</v>
      </c>
      <c r="G24" s="153"/>
      <c r="H24" s="153"/>
      <c r="I24" s="153"/>
      <c r="J24" s="153"/>
      <c r="K24" s="153"/>
    </row>
    <row r="25" spans="6:14" ht="15.75" customHeight="1">
      <c r="F25" s="152" t="s">
        <v>47</v>
      </c>
      <c r="G25" s="153"/>
      <c r="H25" s="153"/>
      <c r="I25" s="153"/>
      <c r="J25" s="153"/>
      <c r="K25" s="153"/>
    </row>
    <row r="26" spans="6:14" ht="15.75" customHeight="1">
      <c r="F26" s="152" t="s">
        <v>48</v>
      </c>
      <c r="G26" s="153"/>
      <c r="H26" s="153"/>
      <c r="I26" s="153"/>
      <c r="J26" s="153"/>
      <c r="K26" s="153"/>
    </row>
    <row r="27" spans="6:14" ht="15.75" customHeight="1">
      <c r="F27" s="1"/>
    </row>
    <row r="28" spans="6:14" ht="15.75" customHeight="1">
      <c r="F28" s="1"/>
    </row>
    <row r="29" spans="6:14" ht="15.75" customHeight="1">
      <c r="F29" s="1"/>
    </row>
    <row r="30" spans="6:14" ht="15.75" customHeight="1">
      <c r="F30" s="1"/>
    </row>
    <row r="31" spans="6:14" ht="15.75" customHeight="1">
      <c r="F31" s="1"/>
    </row>
    <row r="32" spans="6:14" ht="15.75" customHeight="1">
      <c r="F32" s="1"/>
    </row>
    <row r="33" spans="6:6" ht="15.75" customHeight="1">
      <c r="F33" s="1"/>
    </row>
    <row r="34" spans="6:6" ht="15.75" customHeight="1">
      <c r="F34" s="1"/>
    </row>
    <row r="35" spans="6:6" ht="15.75" customHeight="1">
      <c r="F35" s="1"/>
    </row>
    <row r="36" spans="6:6" ht="15.75" customHeight="1">
      <c r="F36" s="1"/>
    </row>
    <row r="37" spans="6:6" ht="15.75" customHeight="1">
      <c r="F37" s="1"/>
    </row>
    <row r="38" spans="6:6" ht="15.75" customHeight="1">
      <c r="F38" s="1"/>
    </row>
    <row r="39" spans="6:6" ht="15.75" customHeight="1">
      <c r="F39" s="1"/>
    </row>
    <row r="40" spans="6:6" ht="15.75" customHeight="1">
      <c r="F40" s="1"/>
    </row>
    <row r="41" spans="6:6" ht="15.75" customHeight="1">
      <c r="F41" s="1"/>
    </row>
    <row r="42" spans="6:6" ht="15.75" customHeight="1">
      <c r="F42" s="1"/>
    </row>
    <row r="43" spans="6:6" ht="15.75" customHeight="1">
      <c r="F43" s="1"/>
    </row>
    <row r="44" spans="6:6" ht="15.75" customHeight="1">
      <c r="F44" s="1"/>
    </row>
    <row r="45" spans="6:6" ht="15.75" customHeight="1">
      <c r="F45" s="1"/>
    </row>
    <row r="46" spans="6:6" ht="15.75" customHeight="1">
      <c r="F46" s="1"/>
    </row>
    <row r="47" spans="6:6" ht="15.75" customHeight="1">
      <c r="F47" s="1"/>
    </row>
    <row r="48" spans="6:6" ht="15.75" customHeight="1">
      <c r="F48" s="1"/>
    </row>
    <row r="49" spans="6:6" ht="15.75" customHeight="1">
      <c r="F49" s="1"/>
    </row>
    <row r="50" spans="6:6" ht="15.75" customHeight="1">
      <c r="F50" s="1"/>
    </row>
    <row r="51" spans="6:6" ht="15.75" customHeight="1">
      <c r="F51" s="1"/>
    </row>
    <row r="52" spans="6:6" ht="15.75" customHeight="1">
      <c r="F52" s="1"/>
    </row>
    <row r="53" spans="6:6" ht="15.75" customHeight="1">
      <c r="F53" s="1"/>
    </row>
    <row r="54" spans="6:6" ht="15.75" customHeight="1">
      <c r="F54" s="1"/>
    </row>
    <row r="55" spans="6:6" ht="15.75" customHeight="1">
      <c r="F55" s="1"/>
    </row>
    <row r="56" spans="6:6" ht="15.75" customHeight="1">
      <c r="F56" s="1"/>
    </row>
    <row r="57" spans="6:6" ht="15.75" customHeight="1">
      <c r="F57" s="1"/>
    </row>
    <row r="58" spans="6:6" ht="15.75" customHeight="1">
      <c r="F58" s="1"/>
    </row>
    <row r="59" spans="6:6" ht="15.75" customHeight="1">
      <c r="F59" s="1"/>
    </row>
    <row r="60" spans="6:6" ht="15.75" customHeight="1">
      <c r="F60" s="1"/>
    </row>
    <row r="61" spans="6:6" ht="15.75" customHeight="1">
      <c r="F61" s="1"/>
    </row>
    <row r="62" spans="6:6" ht="15.75" customHeight="1">
      <c r="F62" s="1"/>
    </row>
    <row r="63" spans="6:6" ht="15.75" customHeight="1">
      <c r="F63" s="1"/>
    </row>
    <row r="64" spans="6:6" ht="15.75" customHeight="1">
      <c r="F64" s="1"/>
    </row>
    <row r="65" spans="6:6" ht="15.75" customHeight="1">
      <c r="F65" s="1"/>
    </row>
    <row r="66" spans="6:6" ht="15.75" customHeight="1">
      <c r="F66" s="1"/>
    </row>
    <row r="67" spans="6:6" ht="15.75" customHeight="1">
      <c r="F67" s="1"/>
    </row>
    <row r="68" spans="6:6" ht="15.75" customHeight="1">
      <c r="F68" s="1"/>
    </row>
    <row r="69" spans="6:6" ht="15.75" customHeight="1">
      <c r="F69" s="1"/>
    </row>
    <row r="70" spans="6:6" ht="15.75" customHeight="1">
      <c r="F70" s="1"/>
    </row>
    <row r="71" spans="6:6" ht="15.75" customHeight="1">
      <c r="F71" s="1"/>
    </row>
    <row r="72" spans="6:6" ht="15.75" customHeight="1">
      <c r="F72" s="1"/>
    </row>
    <row r="73" spans="6:6" ht="15.75" customHeight="1">
      <c r="F73" s="1"/>
    </row>
    <row r="74" spans="6:6" ht="15.75" customHeight="1">
      <c r="F74" s="1"/>
    </row>
    <row r="75" spans="6:6" ht="15.75" customHeight="1">
      <c r="F75" s="1"/>
    </row>
    <row r="76" spans="6:6" ht="15.75" customHeight="1">
      <c r="F76" s="1"/>
    </row>
    <row r="77" spans="6:6" ht="15.75" customHeight="1">
      <c r="F77" s="1"/>
    </row>
    <row r="78" spans="6:6" ht="15.75" customHeight="1">
      <c r="F78" s="1"/>
    </row>
    <row r="79" spans="6:6" ht="15.75" customHeight="1">
      <c r="F79" s="1"/>
    </row>
    <row r="80" spans="6:6" ht="15.75" customHeight="1">
      <c r="F80" s="1"/>
    </row>
    <row r="81" spans="6:6" ht="15.75" customHeight="1">
      <c r="F81" s="1"/>
    </row>
    <row r="82" spans="6:6" ht="15.75" customHeight="1">
      <c r="F82" s="1"/>
    </row>
    <row r="83" spans="6:6" ht="15.75" customHeight="1">
      <c r="F83" s="1"/>
    </row>
    <row r="84" spans="6:6" ht="15.75" customHeight="1">
      <c r="F84" s="1"/>
    </row>
    <row r="85" spans="6:6" ht="15.75" customHeight="1">
      <c r="F85" s="1"/>
    </row>
    <row r="86" spans="6:6" ht="15.75" customHeight="1">
      <c r="F86" s="1"/>
    </row>
    <row r="87" spans="6:6" ht="15.75" customHeight="1">
      <c r="F87" s="1"/>
    </row>
    <row r="88" spans="6:6" ht="15.75" customHeight="1">
      <c r="F88" s="1"/>
    </row>
    <row r="89" spans="6:6" ht="15.75" customHeight="1">
      <c r="F89" s="1"/>
    </row>
    <row r="90" spans="6:6" ht="15.75" customHeight="1">
      <c r="F90" s="1"/>
    </row>
    <row r="91" spans="6:6" ht="15.75" customHeight="1">
      <c r="F91" s="1"/>
    </row>
    <row r="92" spans="6:6" ht="15.75" customHeight="1">
      <c r="F92" s="1"/>
    </row>
    <row r="93" spans="6:6" ht="15.75" customHeight="1">
      <c r="F93" s="1"/>
    </row>
    <row r="94" spans="6:6" ht="15.75" customHeight="1">
      <c r="F94" s="1"/>
    </row>
    <row r="95" spans="6:6" ht="15.75" customHeight="1">
      <c r="F95" s="1"/>
    </row>
    <row r="96" spans="6:6" ht="15.75" customHeight="1">
      <c r="F96" s="1"/>
    </row>
    <row r="97" spans="6:6" ht="15.75" customHeight="1">
      <c r="F97" s="1"/>
    </row>
    <row r="98" spans="6:6" ht="15.75" customHeight="1">
      <c r="F98" s="1"/>
    </row>
    <row r="99" spans="6:6" ht="15.75" customHeight="1">
      <c r="F99" s="1"/>
    </row>
    <row r="100" spans="6:6" ht="15.75" customHeight="1">
      <c r="F100" s="1"/>
    </row>
    <row r="101" spans="6:6" ht="15.75" customHeight="1">
      <c r="F101" s="1"/>
    </row>
    <row r="102" spans="6:6" ht="15.75" customHeight="1">
      <c r="F102" s="1"/>
    </row>
    <row r="103" spans="6:6" ht="15.75" customHeight="1">
      <c r="F103" s="1"/>
    </row>
    <row r="104" spans="6:6" ht="15.75" customHeight="1">
      <c r="F104" s="1"/>
    </row>
    <row r="105" spans="6:6" ht="15.75" customHeight="1">
      <c r="F105" s="1"/>
    </row>
    <row r="106" spans="6:6" ht="15.75" customHeight="1">
      <c r="F106" s="1"/>
    </row>
    <row r="107" spans="6:6" ht="15.75" customHeight="1">
      <c r="F107" s="1"/>
    </row>
    <row r="108" spans="6:6" ht="15.75" customHeight="1">
      <c r="F108" s="1"/>
    </row>
    <row r="109" spans="6:6" ht="15.75" customHeight="1">
      <c r="F109" s="1"/>
    </row>
    <row r="110" spans="6:6" ht="15.75" customHeight="1">
      <c r="F110" s="1"/>
    </row>
    <row r="111" spans="6:6" ht="15.75" customHeight="1">
      <c r="F111" s="1"/>
    </row>
    <row r="112" spans="6:6" ht="15.75" customHeight="1">
      <c r="F112" s="1"/>
    </row>
    <row r="113" spans="6:6" ht="15.75" customHeight="1">
      <c r="F113" s="1"/>
    </row>
    <row r="114" spans="6:6" ht="15.75" customHeight="1">
      <c r="F114" s="1"/>
    </row>
    <row r="115" spans="6:6" ht="15.75" customHeight="1">
      <c r="F115" s="1"/>
    </row>
    <row r="116" spans="6:6" ht="15.75" customHeight="1">
      <c r="F116" s="1"/>
    </row>
    <row r="117" spans="6:6" ht="15.75" customHeight="1">
      <c r="F117" s="1"/>
    </row>
    <row r="118" spans="6:6" ht="15.75" customHeight="1">
      <c r="F118" s="1"/>
    </row>
    <row r="119" spans="6:6" ht="15.75" customHeight="1">
      <c r="F119" s="1"/>
    </row>
    <row r="120" spans="6:6" ht="15.75" customHeight="1">
      <c r="F120" s="1"/>
    </row>
    <row r="121" spans="6:6" ht="15.75" customHeight="1">
      <c r="F121" s="1"/>
    </row>
    <row r="122" spans="6:6" ht="15.75" customHeight="1">
      <c r="F122" s="1"/>
    </row>
    <row r="123" spans="6:6" ht="15.75" customHeight="1">
      <c r="F123" s="1"/>
    </row>
    <row r="124" spans="6:6" ht="15.75" customHeight="1">
      <c r="F124" s="1"/>
    </row>
    <row r="125" spans="6:6" ht="15.75" customHeight="1">
      <c r="F125" s="1"/>
    </row>
    <row r="126" spans="6:6" ht="15.75" customHeight="1">
      <c r="F126" s="1"/>
    </row>
    <row r="127" spans="6:6" ht="15.75" customHeight="1">
      <c r="F127" s="1"/>
    </row>
    <row r="128" spans="6:6" ht="15.75" customHeight="1">
      <c r="F128" s="1"/>
    </row>
    <row r="129" spans="6:6" ht="15.75" customHeight="1">
      <c r="F129" s="1"/>
    </row>
    <row r="130" spans="6:6" ht="15.75" customHeight="1">
      <c r="F130" s="1"/>
    </row>
    <row r="131" spans="6:6" ht="15.75" customHeight="1">
      <c r="F131" s="1"/>
    </row>
    <row r="132" spans="6:6" ht="15.75" customHeight="1">
      <c r="F132" s="1"/>
    </row>
    <row r="133" spans="6:6" ht="15.75" customHeight="1">
      <c r="F133" s="1"/>
    </row>
    <row r="134" spans="6:6" ht="15.75" customHeight="1">
      <c r="F134" s="1"/>
    </row>
    <row r="135" spans="6:6" ht="15.75" customHeight="1">
      <c r="F135" s="1"/>
    </row>
    <row r="136" spans="6:6" ht="15.75" customHeight="1">
      <c r="F136" s="1"/>
    </row>
    <row r="137" spans="6:6" ht="15.75" customHeight="1">
      <c r="F137" s="1"/>
    </row>
    <row r="138" spans="6:6" ht="15.75" customHeight="1">
      <c r="F138" s="1"/>
    </row>
    <row r="139" spans="6:6" ht="15.75" customHeight="1">
      <c r="F139" s="1"/>
    </row>
    <row r="140" spans="6:6" ht="15.75" customHeight="1">
      <c r="F140" s="1"/>
    </row>
    <row r="141" spans="6:6" ht="15.75" customHeight="1">
      <c r="F141" s="1"/>
    </row>
    <row r="142" spans="6:6" ht="15.75" customHeight="1">
      <c r="F142" s="1"/>
    </row>
    <row r="143" spans="6:6" ht="15.75" customHeight="1">
      <c r="F143" s="1"/>
    </row>
    <row r="144" spans="6:6" ht="15.75" customHeight="1">
      <c r="F144" s="1"/>
    </row>
    <row r="145" spans="6:6" ht="15.75" customHeight="1">
      <c r="F145" s="1"/>
    </row>
    <row r="146" spans="6:6" ht="15.75" customHeight="1">
      <c r="F146" s="1"/>
    </row>
    <row r="147" spans="6:6" ht="15.75" customHeight="1">
      <c r="F147" s="1"/>
    </row>
    <row r="148" spans="6:6" ht="15.75" customHeight="1">
      <c r="F148" s="1"/>
    </row>
    <row r="149" spans="6:6" ht="15.75" customHeight="1">
      <c r="F149" s="1"/>
    </row>
    <row r="150" spans="6:6" ht="15.75" customHeight="1">
      <c r="F150" s="1"/>
    </row>
    <row r="151" spans="6:6" ht="15.75" customHeight="1">
      <c r="F151" s="1"/>
    </row>
    <row r="152" spans="6:6" ht="15.75" customHeight="1">
      <c r="F152" s="1"/>
    </row>
    <row r="153" spans="6:6" ht="15.75" customHeight="1">
      <c r="F153" s="1"/>
    </row>
    <row r="154" spans="6:6" ht="15.75" customHeight="1">
      <c r="F154" s="1"/>
    </row>
    <row r="155" spans="6:6" ht="15.75" customHeight="1">
      <c r="F155" s="1"/>
    </row>
    <row r="156" spans="6:6" ht="15.75" customHeight="1">
      <c r="F156" s="1"/>
    </row>
    <row r="157" spans="6:6" ht="15.75" customHeight="1">
      <c r="F157" s="1"/>
    </row>
    <row r="158" spans="6:6" ht="15.75" customHeight="1">
      <c r="F158" s="1"/>
    </row>
    <row r="159" spans="6:6" ht="15.75" customHeight="1">
      <c r="F159" s="1"/>
    </row>
    <row r="160" spans="6:6" ht="15.75" customHeight="1">
      <c r="F160" s="1"/>
    </row>
    <row r="161" spans="6:6" ht="15.75" customHeight="1">
      <c r="F161" s="1"/>
    </row>
    <row r="162" spans="6:6" ht="15.75" customHeight="1">
      <c r="F162" s="1"/>
    </row>
    <row r="163" spans="6:6" ht="15.75" customHeight="1">
      <c r="F163" s="1"/>
    </row>
    <row r="164" spans="6:6" ht="15.75" customHeight="1">
      <c r="F164" s="1"/>
    </row>
    <row r="165" spans="6:6" ht="15.75" customHeight="1">
      <c r="F165" s="1"/>
    </row>
    <row r="166" spans="6:6" ht="15.75" customHeight="1">
      <c r="F166" s="1"/>
    </row>
    <row r="167" spans="6:6" ht="15.75" customHeight="1">
      <c r="F167" s="1"/>
    </row>
    <row r="168" spans="6:6" ht="15.75" customHeight="1">
      <c r="F168" s="1"/>
    </row>
    <row r="169" spans="6:6" ht="15.75" customHeight="1">
      <c r="F169" s="1"/>
    </row>
    <row r="170" spans="6:6" ht="15.75" customHeight="1">
      <c r="F170" s="1"/>
    </row>
    <row r="171" spans="6:6" ht="15.75" customHeight="1">
      <c r="F171" s="1"/>
    </row>
    <row r="172" spans="6:6" ht="15.75" customHeight="1">
      <c r="F172" s="1"/>
    </row>
    <row r="173" spans="6:6" ht="15.75" customHeight="1">
      <c r="F173" s="1"/>
    </row>
    <row r="174" spans="6:6" ht="15.75" customHeight="1">
      <c r="F174" s="1"/>
    </row>
    <row r="175" spans="6:6" ht="15.75" customHeight="1">
      <c r="F175" s="1"/>
    </row>
    <row r="176" spans="6:6" ht="15.75" customHeight="1">
      <c r="F176" s="1"/>
    </row>
    <row r="177" spans="6:6" ht="15.75" customHeight="1">
      <c r="F177" s="1"/>
    </row>
    <row r="178" spans="6:6" ht="15.75" customHeight="1">
      <c r="F178" s="1"/>
    </row>
    <row r="179" spans="6:6" ht="15.75" customHeight="1">
      <c r="F179" s="1"/>
    </row>
    <row r="180" spans="6:6" ht="15.75" customHeight="1">
      <c r="F180" s="1"/>
    </row>
    <row r="181" spans="6:6" ht="15.75" customHeight="1">
      <c r="F181" s="1"/>
    </row>
    <row r="182" spans="6:6" ht="15.75" customHeight="1">
      <c r="F182" s="1"/>
    </row>
    <row r="183" spans="6:6" ht="15.75" customHeight="1">
      <c r="F183" s="1"/>
    </row>
    <row r="184" spans="6:6" ht="15.75" customHeight="1">
      <c r="F184" s="1"/>
    </row>
    <row r="185" spans="6:6" ht="15.75" customHeight="1">
      <c r="F185" s="1"/>
    </row>
    <row r="186" spans="6:6" ht="15.75" customHeight="1">
      <c r="F186" s="1"/>
    </row>
    <row r="187" spans="6:6" ht="15.75" customHeight="1">
      <c r="F187" s="1"/>
    </row>
    <row r="188" spans="6:6" ht="15.75" customHeight="1">
      <c r="F188" s="1"/>
    </row>
    <row r="189" spans="6:6" ht="15.75" customHeight="1">
      <c r="F189" s="1"/>
    </row>
    <row r="190" spans="6:6" ht="15.75" customHeight="1">
      <c r="F190" s="1"/>
    </row>
    <row r="191" spans="6:6" ht="15.75" customHeight="1">
      <c r="F191" s="1"/>
    </row>
    <row r="192" spans="6:6" ht="15.75" customHeight="1">
      <c r="F192" s="1"/>
    </row>
    <row r="193" spans="6:6" ht="15.75" customHeight="1">
      <c r="F193" s="1"/>
    </row>
    <row r="194" spans="6:6" ht="15.75" customHeight="1">
      <c r="F194" s="1"/>
    </row>
    <row r="195" spans="6:6" ht="15.75" customHeight="1">
      <c r="F195" s="1"/>
    </row>
    <row r="196" spans="6:6" ht="15.75" customHeight="1">
      <c r="F196" s="1"/>
    </row>
    <row r="197" spans="6:6" ht="15.75" customHeight="1">
      <c r="F197" s="1"/>
    </row>
    <row r="198" spans="6:6" ht="15.75" customHeight="1">
      <c r="F198" s="1"/>
    </row>
    <row r="199" spans="6:6" ht="15.75" customHeight="1">
      <c r="F199" s="1"/>
    </row>
    <row r="200" spans="6:6" ht="15.75" customHeight="1">
      <c r="F200" s="1"/>
    </row>
    <row r="201" spans="6:6" ht="15.75" customHeight="1">
      <c r="F201" s="1"/>
    </row>
    <row r="202" spans="6:6" ht="15.75" customHeight="1">
      <c r="F202" s="1"/>
    </row>
    <row r="203" spans="6:6" ht="15.75" customHeight="1">
      <c r="F203" s="1"/>
    </row>
    <row r="204" spans="6:6" ht="15.75" customHeight="1">
      <c r="F204" s="1"/>
    </row>
    <row r="205" spans="6:6" ht="15.75" customHeight="1">
      <c r="F205" s="1"/>
    </row>
    <row r="206" spans="6:6" ht="15.75" customHeight="1">
      <c r="F206" s="1"/>
    </row>
    <row r="207" spans="6:6" ht="15.75" customHeight="1">
      <c r="F207" s="1"/>
    </row>
    <row r="208" spans="6:6" ht="15.75" customHeight="1">
      <c r="F208" s="1"/>
    </row>
    <row r="209" spans="6:6" ht="15.75" customHeight="1">
      <c r="F209" s="1"/>
    </row>
    <row r="210" spans="6:6" ht="15.75" customHeight="1">
      <c r="F210" s="1"/>
    </row>
    <row r="211" spans="6:6" ht="15.75" customHeight="1">
      <c r="F211" s="1"/>
    </row>
    <row r="212" spans="6:6" ht="15.75" customHeight="1">
      <c r="F212" s="1"/>
    </row>
    <row r="213" spans="6:6" ht="15.75" customHeight="1">
      <c r="F213" s="1"/>
    </row>
    <row r="214" spans="6:6" ht="15.75" customHeight="1">
      <c r="F214" s="1"/>
    </row>
    <row r="215" spans="6:6" ht="15.75" customHeight="1">
      <c r="F215" s="1"/>
    </row>
    <row r="216" spans="6:6" ht="15.75" customHeight="1">
      <c r="F216" s="1"/>
    </row>
    <row r="217" spans="6:6" ht="15.75" customHeight="1">
      <c r="F217" s="1"/>
    </row>
    <row r="218" spans="6:6" ht="15.75" customHeight="1">
      <c r="F218" s="1"/>
    </row>
    <row r="219" spans="6:6" ht="15.75" customHeight="1">
      <c r="F219" s="1"/>
    </row>
    <row r="220" spans="6:6" ht="15.75" customHeight="1">
      <c r="F220" s="1"/>
    </row>
    <row r="221" spans="6:6" ht="15.75" customHeight="1">
      <c r="F221" s="1"/>
    </row>
    <row r="222" spans="6:6" ht="15.75" customHeight="1">
      <c r="F222" s="1"/>
    </row>
    <row r="223" spans="6:6" ht="15.75" customHeight="1">
      <c r="F223" s="1"/>
    </row>
    <row r="224" spans="6:6" ht="15.75" customHeight="1">
      <c r="F224" s="1"/>
    </row>
    <row r="225" spans="6:6" ht="15.75" customHeight="1">
      <c r="F225" s="1"/>
    </row>
    <row r="226" spans="6:6" ht="15.75" customHeight="1">
      <c r="F226" s="1"/>
    </row>
    <row r="227" spans="6:6" ht="15.75" customHeight="1">
      <c r="F227" s="1"/>
    </row>
    <row r="228" spans="6:6" ht="15.75" customHeight="1">
      <c r="F228" s="1"/>
    </row>
    <row r="229" spans="6:6" ht="15.75" customHeight="1">
      <c r="F229" s="1"/>
    </row>
    <row r="230" spans="6:6" ht="15.75" customHeight="1">
      <c r="F230" s="1"/>
    </row>
    <row r="231" spans="6:6" ht="15.75" customHeight="1">
      <c r="F231" s="1"/>
    </row>
    <row r="232" spans="6:6" ht="15.75" customHeight="1">
      <c r="F232" s="1"/>
    </row>
    <row r="233" spans="6:6" ht="15.75" customHeight="1">
      <c r="F233" s="1"/>
    </row>
    <row r="234" spans="6:6" ht="15.75" customHeight="1">
      <c r="F234" s="1"/>
    </row>
    <row r="235" spans="6:6" ht="15.75" customHeight="1">
      <c r="F235" s="1"/>
    </row>
    <row r="236" spans="6:6" ht="15.75" customHeight="1">
      <c r="F236" s="1"/>
    </row>
    <row r="237" spans="6:6" ht="15.75" customHeight="1">
      <c r="F237" s="1"/>
    </row>
    <row r="238" spans="6:6" ht="15.75" customHeight="1">
      <c r="F238" s="1"/>
    </row>
    <row r="239" spans="6:6" ht="15.75" customHeight="1">
      <c r="F239" s="1"/>
    </row>
    <row r="240" spans="6:6" ht="15.75" customHeight="1">
      <c r="F240" s="1"/>
    </row>
    <row r="241" spans="6:6" ht="15.75" customHeight="1">
      <c r="F241" s="1"/>
    </row>
    <row r="242" spans="6:6" ht="15.75" customHeight="1">
      <c r="F242" s="1"/>
    </row>
    <row r="243" spans="6:6" ht="15.75" customHeight="1">
      <c r="F243" s="1"/>
    </row>
    <row r="244" spans="6:6" ht="15.75" customHeight="1">
      <c r="F244" s="1"/>
    </row>
    <row r="245" spans="6:6" ht="15.75" customHeight="1">
      <c r="F245" s="1"/>
    </row>
    <row r="246" spans="6:6" ht="15.75" customHeight="1">
      <c r="F246" s="1"/>
    </row>
    <row r="247" spans="6:6" ht="15.75" customHeight="1">
      <c r="F247" s="1"/>
    </row>
    <row r="248" spans="6:6" ht="15.75" customHeight="1">
      <c r="F248" s="1"/>
    </row>
    <row r="249" spans="6:6" ht="15.75" customHeight="1">
      <c r="F249" s="1"/>
    </row>
    <row r="250" spans="6:6" ht="15.75" customHeight="1">
      <c r="F250" s="1"/>
    </row>
    <row r="251" spans="6:6" ht="15.75" customHeight="1">
      <c r="F251" s="1"/>
    </row>
    <row r="252" spans="6:6" ht="15.75" customHeight="1">
      <c r="F252" s="1"/>
    </row>
    <row r="253" spans="6:6" ht="15.75" customHeight="1">
      <c r="F253" s="1"/>
    </row>
    <row r="254" spans="6:6" ht="15.75" customHeight="1">
      <c r="F254" s="1"/>
    </row>
    <row r="255" spans="6:6" ht="15.75" customHeight="1">
      <c r="F255" s="1"/>
    </row>
    <row r="256" spans="6:6" ht="15.75" customHeight="1">
      <c r="F256" s="1"/>
    </row>
    <row r="257" spans="6:6" ht="15.75" customHeight="1">
      <c r="F257" s="1"/>
    </row>
    <row r="258" spans="6:6" ht="15.75" customHeight="1">
      <c r="F258" s="1"/>
    </row>
    <row r="259" spans="6:6" ht="15.75" customHeight="1">
      <c r="F259" s="1"/>
    </row>
    <row r="260" spans="6:6" ht="15.75" customHeight="1">
      <c r="F260" s="1"/>
    </row>
    <row r="261" spans="6:6" ht="15.75" customHeight="1">
      <c r="F261" s="1"/>
    </row>
    <row r="262" spans="6:6" ht="15.75" customHeight="1">
      <c r="F262" s="1"/>
    </row>
    <row r="263" spans="6:6" ht="15.75" customHeight="1">
      <c r="F263" s="1"/>
    </row>
    <row r="264" spans="6:6" ht="15.75" customHeight="1">
      <c r="F264" s="1"/>
    </row>
    <row r="265" spans="6:6" ht="15.75" customHeight="1">
      <c r="F265" s="1"/>
    </row>
    <row r="266" spans="6:6" ht="15.75" customHeight="1">
      <c r="F266" s="1"/>
    </row>
    <row r="267" spans="6:6" ht="15.75" customHeight="1">
      <c r="F267" s="1"/>
    </row>
    <row r="268" spans="6:6" ht="15.75" customHeight="1">
      <c r="F268" s="1"/>
    </row>
    <row r="269" spans="6:6" ht="15.75" customHeight="1">
      <c r="F269" s="1"/>
    </row>
    <row r="270" spans="6:6" ht="15.75" customHeight="1">
      <c r="F270" s="1"/>
    </row>
    <row r="271" spans="6:6" ht="15.75" customHeight="1">
      <c r="F271" s="1"/>
    </row>
    <row r="272" spans="6:6" ht="15.75" customHeight="1">
      <c r="F272" s="1"/>
    </row>
    <row r="273" spans="6:6" ht="15.75" customHeight="1">
      <c r="F273" s="1"/>
    </row>
    <row r="274" spans="6:6" ht="15.75" customHeight="1">
      <c r="F274" s="1"/>
    </row>
    <row r="275" spans="6:6" ht="15.75" customHeight="1">
      <c r="F275" s="1"/>
    </row>
    <row r="276" spans="6:6" ht="15.75" customHeight="1">
      <c r="F276" s="1"/>
    </row>
    <row r="277" spans="6:6" ht="15.75" customHeight="1">
      <c r="F277" s="1"/>
    </row>
    <row r="278" spans="6:6" ht="15.75" customHeight="1">
      <c r="F278" s="1"/>
    </row>
    <row r="279" spans="6:6" ht="15.75" customHeight="1">
      <c r="F279" s="1"/>
    </row>
    <row r="280" spans="6:6" ht="15.75" customHeight="1">
      <c r="F280" s="1"/>
    </row>
    <row r="281" spans="6:6" ht="15.75" customHeight="1">
      <c r="F281" s="1"/>
    </row>
    <row r="282" spans="6:6" ht="15.75" customHeight="1">
      <c r="F282" s="1"/>
    </row>
    <row r="283" spans="6:6" ht="15.75" customHeight="1">
      <c r="F283" s="1"/>
    </row>
    <row r="284" spans="6:6" ht="15.75" customHeight="1">
      <c r="F284" s="1"/>
    </row>
    <row r="285" spans="6:6" ht="15.75" customHeight="1">
      <c r="F285" s="1"/>
    </row>
    <row r="286" spans="6:6" ht="15.75" customHeight="1">
      <c r="F286" s="1"/>
    </row>
    <row r="287" spans="6:6" ht="15.75" customHeight="1">
      <c r="F287" s="1"/>
    </row>
    <row r="288" spans="6:6" ht="15.75" customHeight="1">
      <c r="F288" s="1"/>
    </row>
    <row r="289" spans="6:6" ht="15.75" customHeight="1">
      <c r="F289" s="1"/>
    </row>
    <row r="290" spans="6:6" ht="15.75" customHeight="1">
      <c r="F290" s="1"/>
    </row>
    <row r="291" spans="6:6" ht="15.75" customHeight="1">
      <c r="F291" s="1"/>
    </row>
    <row r="292" spans="6:6" ht="15.75" customHeight="1">
      <c r="F292" s="1"/>
    </row>
    <row r="293" spans="6:6" ht="15.75" customHeight="1">
      <c r="F293" s="1"/>
    </row>
    <row r="294" spans="6:6" ht="15.75" customHeight="1">
      <c r="F294" s="1"/>
    </row>
    <row r="295" spans="6:6" ht="15.75" customHeight="1">
      <c r="F295" s="1"/>
    </row>
    <row r="296" spans="6:6" ht="15.75" customHeight="1">
      <c r="F296" s="1"/>
    </row>
    <row r="297" spans="6:6" ht="15.75" customHeight="1">
      <c r="F297" s="1"/>
    </row>
    <row r="298" spans="6:6" ht="15.75" customHeight="1">
      <c r="F298" s="1"/>
    </row>
    <row r="299" spans="6:6" ht="15.75" customHeight="1">
      <c r="F299" s="1"/>
    </row>
    <row r="300" spans="6:6" ht="15.75" customHeight="1">
      <c r="F300" s="1"/>
    </row>
    <row r="301" spans="6:6" ht="15.75" customHeight="1">
      <c r="F301" s="1"/>
    </row>
    <row r="302" spans="6:6" ht="15.75" customHeight="1">
      <c r="F302" s="1"/>
    </row>
    <row r="303" spans="6:6" ht="15.75" customHeight="1">
      <c r="F303" s="1"/>
    </row>
    <row r="304" spans="6:6" ht="15.75" customHeight="1">
      <c r="F304" s="1"/>
    </row>
    <row r="305" spans="6:6" ht="15.75" customHeight="1">
      <c r="F305" s="1"/>
    </row>
    <row r="306" spans="6:6" ht="15.75" customHeight="1">
      <c r="F306" s="1"/>
    </row>
    <row r="307" spans="6:6" ht="15.75" customHeight="1">
      <c r="F307" s="1"/>
    </row>
    <row r="308" spans="6:6" ht="15.75" customHeight="1">
      <c r="F308" s="1"/>
    </row>
    <row r="309" spans="6:6" ht="15.75" customHeight="1">
      <c r="F309" s="1"/>
    </row>
    <row r="310" spans="6:6" ht="15.75" customHeight="1">
      <c r="F310" s="1"/>
    </row>
    <row r="311" spans="6:6" ht="15.75" customHeight="1">
      <c r="F311" s="1"/>
    </row>
    <row r="312" spans="6:6" ht="15.75" customHeight="1">
      <c r="F312" s="1"/>
    </row>
    <row r="313" spans="6:6" ht="15.75" customHeight="1">
      <c r="F313" s="1"/>
    </row>
    <row r="314" spans="6:6" ht="15.75" customHeight="1">
      <c r="F314" s="1"/>
    </row>
    <row r="315" spans="6:6" ht="15.75" customHeight="1">
      <c r="F315" s="1"/>
    </row>
    <row r="316" spans="6:6" ht="15.75" customHeight="1">
      <c r="F316" s="1"/>
    </row>
    <row r="317" spans="6:6" ht="15.75" customHeight="1">
      <c r="F317" s="1"/>
    </row>
    <row r="318" spans="6:6" ht="15.75" customHeight="1">
      <c r="F318" s="1"/>
    </row>
    <row r="319" spans="6:6" ht="15.75" customHeight="1">
      <c r="F319" s="1"/>
    </row>
    <row r="320" spans="6:6" ht="15.75" customHeight="1">
      <c r="F320" s="1"/>
    </row>
    <row r="321" spans="6:6" ht="15.75" customHeight="1">
      <c r="F321" s="1"/>
    </row>
    <row r="322" spans="6:6" ht="15.75" customHeight="1">
      <c r="F322" s="1"/>
    </row>
    <row r="323" spans="6:6" ht="15.75" customHeight="1">
      <c r="F323" s="1"/>
    </row>
    <row r="324" spans="6:6" ht="15.75" customHeight="1">
      <c r="F324" s="1"/>
    </row>
    <row r="325" spans="6:6" ht="15.75" customHeight="1">
      <c r="F325" s="1"/>
    </row>
    <row r="326" spans="6:6" ht="15.75" customHeight="1">
      <c r="F326" s="1"/>
    </row>
    <row r="327" spans="6:6" ht="15.75" customHeight="1">
      <c r="F327" s="1"/>
    </row>
    <row r="328" spans="6:6" ht="15.75" customHeight="1">
      <c r="F328" s="1"/>
    </row>
    <row r="329" spans="6:6" ht="15.75" customHeight="1">
      <c r="F329" s="1"/>
    </row>
    <row r="330" spans="6:6" ht="15.75" customHeight="1">
      <c r="F330" s="1"/>
    </row>
    <row r="331" spans="6:6" ht="15.75" customHeight="1">
      <c r="F331" s="1"/>
    </row>
    <row r="332" spans="6:6" ht="15.75" customHeight="1">
      <c r="F332" s="1"/>
    </row>
    <row r="333" spans="6:6" ht="15.75" customHeight="1">
      <c r="F333" s="1"/>
    </row>
    <row r="334" spans="6:6" ht="15.75" customHeight="1">
      <c r="F334" s="1"/>
    </row>
    <row r="335" spans="6:6" ht="15.75" customHeight="1">
      <c r="F335" s="1"/>
    </row>
    <row r="336" spans="6:6" ht="15.75" customHeight="1">
      <c r="F336" s="1"/>
    </row>
    <row r="337" spans="6:6" ht="15.75" customHeight="1">
      <c r="F337" s="1"/>
    </row>
    <row r="338" spans="6:6" ht="15.75" customHeight="1">
      <c r="F338" s="1"/>
    </row>
    <row r="339" spans="6:6" ht="15.75" customHeight="1">
      <c r="F339" s="1"/>
    </row>
    <row r="340" spans="6:6" ht="15.75" customHeight="1">
      <c r="F340" s="1"/>
    </row>
    <row r="341" spans="6:6" ht="15.75" customHeight="1">
      <c r="F341" s="1"/>
    </row>
    <row r="342" spans="6:6" ht="15.75" customHeight="1">
      <c r="F342" s="1"/>
    </row>
    <row r="343" spans="6:6" ht="15.75" customHeight="1">
      <c r="F343" s="1"/>
    </row>
    <row r="344" spans="6:6" ht="15.75" customHeight="1">
      <c r="F344" s="1"/>
    </row>
    <row r="345" spans="6:6" ht="15.75" customHeight="1">
      <c r="F345" s="1"/>
    </row>
    <row r="346" spans="6:6" ht="15.75" customHeight="1">
      <c r="F346" s="1"/>
    </row>
    <row r="347" spans="6:6" ht="15.75" customHeight="1">
      <c r="F347" s="1"/>
    </row>
    <row r="348" spans="6:6" ht="15.75" customHeight="1">
      <c r="F348" s="1"/>
    </row>
    <row r="349" spans="6:6" ht="15.75" customHeight="1">
      <c r="F349" s="1"/>
    </row>
    <row r="350" spans="6:6" ht="15.75" customHeight="1">
      <c r="F350" s="1"/>
    </row>
    <row r="351" spans="6:6" ht="15.75" customHeight="1">
      <c r="F351" s="1"/>
    </row>
    <row r="352" spans="6:6" ht="15.75" customHeight="1">
      <c r="F352" s="1"/>
    </row>
    <row r="353" spans="6:6" ht="15.75" customHeight="1">
      <c r="F353" s="1"/>
    </row>
    <row r="354" spans="6:6" ht="15.75" customHeight="1">
      <c r="F354" s="1"/>
    </row>
    <row r="355" spans="6:6" ht="15.75" customHeight="1">
      <c r="F355" s="1"/>
    </row>
    <row r="356" spans="6:6" ht="15.75" customHeight="1">
      <c r="F356" s="1"/>
    </row>
    <row r="357" spans="6:6" ht="15.75" customHeight="1">
      <c r="F357" s="1"/>
    </row>
    <row r="358" spans="6:6" ht="15.75" customHeight="1">
      <c r="F358" s="1"/>
    </row>
    <row r="359" spans="6:6" ht="15.75" customHeight="1">
      <c r="F359" s="1"/>
    </row>
    <row r="360" spans="6:6" ht="15.75" customHeight="1">
      <c r="F360" s="1"/>
    </row>
    <row r="361" spans="6:6" ht="15.75" customHeight="1">
      <c r="F361" s="1"/>
    </row>
    <row r="362" spans="6:6" ht="15.75" customHeight="1">
      <c r="F362" s="1"/>
    </row>
    <row r="363" spans="6:6" ht="15.75" customHeight="1">
      <c r="F363" s="1"/>
    </row>
    <row r="364" spans="6:6" ht="15.75" customHeight="1">
      <c r="F364" s="1"/>
    </row>
    <row r="365" spans="6:6" ht="15.75" customHeight="1">
      <c r="F365" s="1"/>
    </row>
    <row r="366" spans="6:6" ht="15.75" customHeight="1">
      <c r="F366" s="1"/>
    </row>
    <row r="367" spans="6:6" ht="15.75" customHeight="1">
      <c r="F367" s="1"/>
    </row>
    <row r="368" spans="6:6" ht="15.75" customHeight="1">
      <c r="F368" s="1"/>
    </row>
    <row r="369" spans="6:6" ht="15.75" customHeight="1">
      <c r="F369" s="1"/>
    </row>
    <row r="370" spans="6:6" ht="15.75" customHeight="1">
      <c r="F370" s="1"/>
    </row>
    <row r="371" spans="6:6" ht="15.75" customHeight="1">
      <c r="F371" s="1"/>
    </row>
    <row r="372" spans="6:6" ht="15.75" customHeight="1">
      <c r="F372" s="1"/>
    </row>
    <row r="373" spans="6:6" ht="15.75" customHeight="1">
      <c r="F373" s="1"/>
    </row>
    <row r="374" spans="6:6" ht="15.75" customHeight="1">
      <c r="F374" s="1"/>
    </row>
    <row r="375" spans="6:6" ht="15.75" customHeight="1">
      <c r="F375" s="1"/>
    </row>
    <row r="376" spans="6:6" ht="15.75" customHeight="1">
      <c r="F376" s="1"/>
    </row>
    <row r="377" spans="6:6" ht="15.75" customHeight="1">
      <c r="F377" s="1"/>
    </row>
    <row r="378" spans="6:6" ht="15.75" customHeight="1">
      <c r="F378" s="1"/>
    </row>
    <row r="379" spans="6:6" ht="15.75" customHeight="1">
      <c r="F379" s="1"/>
    </row>
    <row r="380" spans="6:6" ht="15.75" customHeight="1">
      <c r="F380" s="1"/>
    </row>
    <row r="381" spans="6:6" ht="15.75" customHeight="1">
      <c r="F381" s="1"/>
    </row>
    <row r="382" spans="6:6" ht="15.75" customHeight="1">
      <c r="F382" s="1"/>
    </row>
    <row r="383" spans="6:6" ht="15.75" customHeight="1">
      <c r="F383" s="1"/>
    </row>
    <row r="384" spans="6:6" ht="15.75" customHeight="1">
      <c r="F384" s="1"/>
    </row>
    <row r="385" spans="6:6" ht="15.75" customHeight="1">
      <c r="F385" s="1"/>
    </row>
    <row r="386" spans="6:6" ht="15.75" customHeight="1">
      <c r="F386" s="1"/>
    </row>
    <row r="387" spans="6:6" ht="15.75" customHeight="1">
      <c r="F387" s="1"/>
    </row>
    <row r="388" spans="6:6" ht="15.75" customHeight="1">
      <c r="F388" s="1"/>
    </row>
    <row r="389" spans="6:6" ht="15.75" customHeight="1">
      <c r="F389" s="1"/>
    </row>
    <row r="390" spans="6:6" ht="15.75" customHeight="1">
      <c r="F390" s="1"/>
    </row>
    <row r="391" spans="6:6" ht="15.75" customHeight="1">
      <c r="F391" s="1"/>
    </row>
    <row r="392" spans="6:6" ht="15.75" customHeight="1">
      <c r="F392" s="1"/>
    </row>
    <row r="393" spans="6:6" ht="15.75" customHeight="1">
      <c r="F393" s="1"/>
    </row>
    <row r="394" spans="6:6" ht="15.75" customHeight="1">
      <c r="F394" s="1"/>
    </row>
    <row r="395" spans="6:6" ht="15.75" customHeight="1">
      <c r="F395" s="1"/>
    </row>
    <row r="396" spans="6:6" ht="15.75" customHeight="1">
      <c r="F396" s="1"/>
    </row>
    <row r="397" spans="6:6" ht="15.75" customHeight="1">
      <c r="F397" s="1"/>
    </row>
    <row r="398" spans="6:6" ht="15.75" customHeight="1">
      <c r="F398" s="1"/>
    </row>
    <row r="399" spans="6:6" ht="15.75" customHeight="1">
      <c r="F399" s="1"/>
    </row>
    <row r="400" spans="6:6" ht="15.75" customHeight="1">
      <c r="F400" s="1"/>
    </row>
    <row r="401" spans="6:6" ht="15.75" customHeight="1">
      <c r="F401" s="1"/>
    </row>
    <row r="402" spans="6:6" ht="15.75" customHeight="1">
      <c r="F402" s="1"/>
    </row>
    <row r="403" spans="6:6" ht="15.75" customHeight="1">
      <c r="F403" s="1"/>
    </row>
    <row r="404" spans="6:6" ht="15.75" customHeight="1">
      <c r="F404" s="1"/>
    </row>
    <row r="405" spans="6:6" ht="15.75" customHeight="1">
      <c r="F405" s="1"/>
    </row>
    <row r="406" spans="6:6" ht="15.75" customHeight="1">
      <c r="F406" s="1"/>
    </row>
    <row r="407" spans="6:6" ht="15.75" customHeight="1">
      <c r="F407" s="1"/>
    </row>
    <row r="408" spans="6:6" ht="15.75" customHeight="1">
      <c r="F408" s="1"/>
    </row>
    <row r="409" spans="6:6" ht="15.75" customHeight="1">
      <c r="F409" s="1"/>
    </row>
    <row r="410" spans="6:6" ht="15.75" customHeight="1">
      <c r="F410" s="1"/>
    </row>
    <row r="411" spans="6:6" ht="15.75" customHeight="1">
      <c r="F411" s="1"/>
    </row>
    <row r="412" spans="6:6" ht="15.75" customHeight="1">
      <c r="F412" s="1"/>
    </row>
    <row r="413" spans="6:6" ht="15.75" customHeight="1">
      <c r="F413" s="1"/>
    </row>
    <row r="414" spans="6:6" ht="15.75" customHeight="1">
      <c r="F414" s="1"/>
    </row>
    <row r="415" spans="6:6" ht="15.75" customHeight="1">
      <c r="F415" s="1"/>
    </row>
    <row r="416" spans="6:6" ht="15.75" customHeight="1">
      <c r="F416" s="1"/>
    </row>
    <row r="417" spans="6:6" ht="15.75" customHeight="1">
      <c r="F417" s="1"/>
    </row>
    <row r="418" spans="6:6" ht="15.75" customHeight="1">
      <c r="F418" s="1"/>
    </row>
    <row r="419" spans="6:6" ht="15.75" customHeight="1">
      <c r="F419" s="1"/>
    </row>
    <row r="420" spans="6:6" ht="15.75" customHeight="1">
      <c r="F420" s="1"/>
    </row>
    <row r="421" spans="6:6" ht="15.75" customHeight="1">
      <c r="F421" s="1"/>
    </row>
    <row r="422" spans="6:6" ht="15.75" customHeight="1">
      <c r="F422" s="1"/>
    </row>
    <row r="423" spans="6:6" ht="15.75" customHeight="1">
      <c r="F423" s="1"/>
    </row>
    <row r="424" spans="6:6" ht="15.75" customHeight="1">
      <c r="F424" s="1"/>
    </row>
    <row r="425" spans="6:6" ht="15.75" customHeight="1">
      <c r="F425" s="1"/>
    </row>
    <row r="426" spans="6:6" ht="15.75" customHeight="1">
      <c r="F426" s="1"/>
    </row>
    <row r="427" spans="6:6" ht="15.75" customHeight="1">
      <c r="F427" s="1"/>
    </row>
    <row r="428" spans="6:6" ht="15.75" customHeight="1">
      <c r="F428" s="1"/>
    </row>
    <row r="429" spans="6:6" ht="15.75" customHeight="1">
      <c r="F429" s="1"/>
    </row>
    <row r="430" spans="6:6" ht="15.75" customHeight="1">
      <c r="F430" s="1"/>
    </row>
    <row r="431" spans="6:6" ht="15.75" customHeight="1">
      <c r="F431" s="1"/>
    </row>
    <row r="432" spans="6:6" ht="15.75" customHeight="1">
      <c r="F432" s="1"/>
    </row>
    <row r="433" spans="6:6" ht="15.75" customHeight="1">
      <c r="F433" s="1"/>
    </row>
    <row r="434" spans="6:6" ht="15.75" customHeight="1">
      <c r="F434" s="1"/>
    </row>
    <row r="435" spans="6:6" ht="15.75" customHeight="1">
      <c r="F435" s="1"/>
    </row>
    <row r="436" spans="6:6" ht="15.75" customHeight="1">
      <c r="F436" s="1"/>
    </row>
    <row r="437" spans="6:6" ht="15.75" customHeight="1">
      <c r="F437" s="1"/>
    </row>
    <row r="438" spans="6:6" ht="15.75" customHeight="1">
      <c r="F438" s="1"/>
    </row>
    <row r="439" spans="6:6" ht="15.75" customHeight="1">
      <c r="F439" s="1"/>
    </row>
    <row r="440" spans="6:6" ht="15.75" customHeight="1">
      <c r="F440" s="1"/>
    </row>
    <row r="441" spans="6:6" ht="15.75" customHeight="1">
      <c r="F441" s="1"/>
    </row>
    <row r="442" spans="6:6" ht="15.75" customHeight="1">
      <c r="F442" s="1"/>
    </row>
    <row r="443" spans="6:6" ht="15.75" customHeight="1">
      <c r="F443" s="1"/>
    </row>
    <row r="444" spans="6:6" ht="15.75" customHeight="1">
      <c r="F444" s="1"/>
    </row>
    <row r="445" spans="6:6" ht="15.75" customHeight="1">
      <c r="F445" s="1"/>
    </row>
    <row r="446" spans="6:6" ht="15.75" customHeight="1">
      <c r="F446" s="1"/>
    </row>
    <row r="447" spans="6:6" ht="15.75" customHeight="1">
      <c r="F447" s="1"/>
    </row>
    <row r="448" spans="6:6" ht="15.75" customHeight="1">
      <c r="F448" s="1"/>
    </row>
    <row r="449" spans="6:6" ht="15.75" customHeight="1">
      <c r="F449" s="1"/>
    </row>
    <row r="450" spans="6:6" ht="15.75" customHeight="1">
      <c r="F450" s="1"/>
    </row>
    <row r="451" spans="6:6" ht="15.75" customHeight="1">
      <c r="F451" s="1"/>
    </row>
    <row r="452" spans="6:6" ht="15.75" customHeight="1">
      <c r="F452" s="1"/>
    </row>
    <row r="453" spans="6:6" ht="15.75" customHeight="1">
      <c r="F453" s="1"/>
    </row>
    <row r="454" spans="6:6" ht="15.75" customHeight="1">
      <c r="F454" s="1"/>
    </row>
    <row r="455" spans="6:6" ht="15.75" customHeight="1">
      <c r="F455" s="1"/>
    </row>
    <row r="456" spans="6:6" ht="15.75" customHeight="1">
      <c r="F456" s="1"/>
    </row>
    <row r="457" spans="6:6" ht="15.75" customHeight="1">
      <c r="F457" s="1"/>
    </row>
    <row r="458" spans="6:6" ht="15.75" customHeight="1">
      <c r="F458" s="1"/>
    </row>
    <row r="459" spans="6:6" ht="15.75" customHeight="1">
      <c r="F459" s="1"/>
    </row>
    <row r="460" spans="6:6" ht="15.75" customHeight="1">
      <c r="F460" s="1"/>
    </row>
    <row r="461" spans="6:6" ht="15.75" customHeight="1">
      <c r="F461" s="1"/>
    </row>
    <row r="462" spans="6:6" ht="15.75" customHeight="1">
      <c r="F462" s="1"/>
    </row>
    <row r="463" spans="6:6" ht="15.75" customHeight="1">
      <c r="F463" s="1"/>
    </row>
    <row r="464" spans="6:6" ht="15.75" customHeight="1">
      <c r="F464" s="1"/>
    </row>
    <row r="465" spans="6:6" ht="15.75" customHeight="1">
      <c r="F465" s="1"/>
    </row>
    <row r="466" spans="6:6" ht="15.75" customHeight="1">
      <c r="F466" s="1"/>
    </row>
    <row r="467" spans="6:6" ht="15.75" customHeight="1">
      <c r="F467" s="1"/>
    </row>
    <row r="468" spans="6:6" ht="15.75" customHeight="1">
      <c r="F468" s="1"/>
    </row>
    <row r="469" spans="6:6" ht="15.75" customHeight="1">
      <c r="F469" s="1"/>
    </row>
    <row r="470" spans="6:6" ht="15.75" customHeight="1">
      <c r="F470" s="1"/>
    </row>
    <row r="471" spans="6:6" ht="15.75" customHeight="1">
      <c r="F471" s="1"/>
    </row>
    <row r="472" spans="6:6" ht="15.75" customHeight="1">
      <c r="F472" s="1"/>
    </row>
    <row r="473" spans="6:6" ht="15.75" customHeight="1">
      <c r="F473" s="1"/>
    </row>
    <row r="474" spans="6:6" ht="15.75" customHeight="1">
      <c r="F474" s="1"/>
    </row>
    <row r="475" spans="6:6" ht="15.75" customHeight="1">
      <c r="F475" s="1"/>
    </row>
    <row r="476" spans="6:6" ht="15.75" customHeight="1">
      <c r="F476" s="1"/>
    </row>
    <row r="477" spans="6:6" ht="15.75" customHeight="1">
      <c r="F477" s="1"/>
    </row>
    <row r="478" spans="6:6" ht="15.75" customHeight="1">
      <c r="F478" s="1"/>
    </row>
    <row r="479" spans="6:6" ht="15.75" customHeight="1">
      <c r="F479" s="1"/>
    </row>
    <row r="480" spans="6:6" ht="15.75" customHeight="1">
      <c r="F480" s="1"/>
    </row>
    <row r="481" spans="6:6" ht="15.75" customHeight="1">
      <c r="F481" s="1"/>
    </row>
    <row r="482" spans="6:6" ht="15.75" customHeight="1">
      <c r="F482" s="1"/>
    </row>
    <row r="483" spans="6:6" ht="15.75" customHeight="1">
      <c r="F483" s="1"/>
    </row>
    <row r="484" spans="6:6" ht="15.75" customHeight="1">
      <c r="F484" s="1"/>
    </row>
    <row r="485" spans="6:6" ht="15.75" customHeight="1">
      <c r="F485" s="1"/>
    </row>
    <row r="486" spans="6:6" ht="15.75" customHeight="1">
      <c r="F486" s="1"/>
    </row>
    <row r="487" spans="6:6" ht="15.75" customHeight="1">
      <c r="F487" s="1"/>
    </row>
    <row r="488" spans="6:6" ht="15.75" customHeight="1">
      <c r="F488" s="1"/>
    </row>
    <row r="489" spans="6:6" ht="15.75" customHeight="1">
      <c r="F489" s="1"/>
    </row>
    <row r="490" spans="6:6" ht="15.75" customHeight="1">
      <c r="F490" s="1"/>
    </row>
    <row r="491" spans="6:6" ht="15.75" customHeight="1">
      <c r="F491" s="1"/>
    </row>
    <row r="492" spans="6:6" ht="15.75" customHeight="1">
      <c r="F492" s="1"/>
    </row>
    <row r="493" spans="6:6" ht="15.75" customHeight="1">
      <c r="F493" s="1"/>
    </row>
    <row r="494" spans="6:6" ht="15.75" customHeight="1">
      <c r="F494" s="1"/>
    </row>
    <row r="495" spans="6:6" ht="15.75" customHeight="1">
      <c r="F495" s="1"/>
    </row>
    <row r="496" spans="6:6" ht="15.75" customHeight="1">
      <c r="F496" s="1"/>
    </row>
    <row r="497" spans="6:6" ht="15.75" customHeight="1">
      <c r="F497" s="1"/>
    </row>
    <row r="498" spans="6:6" ht="15.75" customHeight="1">
      <c r="F498" s="1"/>
    </row>
    <row r="499" spans="6:6" ht="15.75" customHeight="1">
      <c r="F499" s="1"/>
    </row>
    <row r="500" spans="6:6" ht="15.75" customHeight="1">
      <c r="F500" s="1"/>
    </row>
    <row r="501" spans="6:6" ht="15.75" customHeight="1">
      <c r="F501" s="1"/>
    </row>
    <row r="502" spans="6:6" ht="15.75" customHeight="1">
      <c r="F502" s="1"/>
    </row>
    <row r="503" spans="6:6" ht="15.75" customHeight="1">
      <c r="F503" s="1"/>
    </row>
    <row r="504" spans="6:6" ht="15.75" customHeight="1">
      <c r="F504" s="1"/>
    </row>
    <row r="505" spans="6:6" ht="15.75" customHeight="1">
      <c r="F505" s="1"/>
    </row>
    <row r="506" spans="6:6" ht="15.75" customHeight="1">
      <c r="F506" s="1"/>
    </row>
    <row r="507" spans="6:6" ht="15.75" customHeight="1">
      <c r="F507" s="1"/>
    </row>
    <row r="508" spans="6:6" ht="15.75" customHeight="1">
      <c r="F508" s="1"/>
    </row>
    <row r="509" spans="6:6" ht="15.75" customHeight="1">
      <c r="F509" s="1"/>
    </row>
    <row r="510" spans="6:6" ht="15.75" customHeight="1">
      <c r="F510" s="1"/>
    </row>
    <row r="511" spans="6:6" ht="15.75" customHeight="1">
      <c r="F511" s="1"/>
    </row>
    <row r="512" spans="6:6" ht="15.75" customHeight="1">
      <c r="F512" s="1"/>
    </row>
    <row r="513" spans="6:6" ht="15.75" customHeight="1">
      <c r="F513" s="1"/>
    </row>
    <row r="514" spans="6:6" ht="15.75" customHeight="1">
      <c r="F514" s="1"/>
    </row>
    <row r="515" spans="6:6" ht="15.75" customHeight="1">
      <c r="F515" s="1"/>
    </row>
    <row r="516" spans="6:6" ht="15.75" customHeight="1">
      <c r="F516" s="1"/>
    </row>
    <row r="517" spans="6:6" ht="15.75" customHeight="1">
      <c r="F517" s="1"/>
    </row>
    <row r="518" spans="6:6" ht="15.75" customHeight="1">
      <c r="F518" s="1"/>
    </row>
    <row r="519" spans="6:6" ht="15.75" customHeight="1">
      <c r="F519" s="1"/>
    </row>
    <row r="520" spans="6:6" ht="15.75" customHeight="1">
      <c r="F520" s="1"/>
    </row>
    <row r="521" spans="6:6" ht="15.75" customHeight="1">
      <c r="F521" s="1"/>
    </row>
    <row r="522" spans="6:6" ht="15.75" customHeight="1">
      <c r="F522" s="1"/>
    </row>
    <row r="523" spans="6:6" ht="15.75" customHeight="1">
      <c r="F523" s="1"/>
    </row>
    <row r="524" spans="6:6" ht="15.75" customHeight="1">
      <c r="F524" s="1"/>
    </row>
    <row r="525" spans="6:6" ht="15.75" customHeight="1">
      <c r="F525" s="1"/>
    </row>
    <row r="526" spans="6:6" ht="15.75" customHeight="1">
      <c r="F526" s="1"/>
    </row>
    <row r="527" spans="6:6" ht="15.75" customHeight="1">
      <c r="F527" s="1"/>
    </row>
    <row r="528" spans="6:6" ht="15.75" customHeight="1">
      <c r="F528" s="1"/>
    </row>
    <row r="529" spans="6:6" ht="15.75" customHeight="1">
      <c r="F529" s="1"/>
    </row>
    <row r="530" spans="6:6" ht="15.75" customHeight="1">
      <c r="F530" s="1"/>
    </row>
    <row r="531" spans="6:6" ht="15.75" customHeight="1">
      <c r="F531" s="1"/>
    </row>
    <row r="532" spans="6:6" ht="15.75" customHeight="1">
      <c r="F532" s="1"/>
    </row>
    <row r="533" spans="6:6" ht="15.75" customHeight="1">
      <c r="F533" s="1"/>
    </row>
    <row r="534" spans="6:6" ht="15.75" customHeight="1">
      <c r="F534" s="1"/>
    </row>
    <row r="535" spans="6:6" ht="15.75" customHeight="1">
      <c r="F535" s="1"/>
    </row>
    <row r="536" spans="6:6" ht="15.75" customHeight="1">
      <c r="F536" s="1"/>
    </row>
    <row r="537" spans="6:6" ht="15.75" customHeight="1">
      <c r="F537" s="1"/>
    </row>
    <row r="538" spans="6:6" ht="15.75" customHeight="1">
      <c r="F538" s="1"/>
    </row>
    <row r="539" spans="6:6" ht="15.75" customHeight="1">
      <c r="F539" s="1"/>
    </row>
    <row r="540" spans="6:6" ht="15.75" customHeight="1">
      <c r="F540" s="1"/>
    </row>
    <row r="541" spans="6:6" ht="15.75" customHeight="1">
      <c r="F541" s="1"/>
    </row>
    <row r="542" spans="6:6" ht="15.75" customHeight="1">
      <c r="F542" s="1"/>
    </row>
    <row r="543" spans="6:6" ht="15.75" customHeight="1">
      <c r="F543" s="1"/>
    </row>
    <row r="544" spans="6:6" ht="15.75" customHeight="1">
      <c r="F544" s="1"/>
    </row>
    <row r="545" spans="6:6" ht="15.75" customHeight="1">
      <c r="F545" s="1"/>
    </row>
    <row r="546" spans="6:6" ht="15.75" customHeight="1">
      <c r="F546" s="1"/>
    </row>
    <row r="547" spans="6:6" ht="15.75" customHeight="1">
      <c r="F547" s="1"/>
    </row>
    <row r="548" spans="6:6" ht="15.75" customHeight="1">
      <c r="F548" s="1"/>
    </row>
    <row r="549" spans="6:6" ht="15.75" customHeight="1">
      <c r="F549" s="1"/>
    </row>
    <row r="550" spans="6:6" ht="15.75" customHeight="1">
      <c r="F550" s="1"/>
    </row>
    <row r="551" spans="6:6" ht="15.75" customHeight="1">
      <c r="F551" s="1"/>
    </row>
    <row r="552" spans="6:6" ht="15.75" customHeight="1">
      <c r="F552" s="1"/>
    </row>
    <row r="553" spans="6:6" ht="15.75" customHeight="1">
      <c r="F553" s="1"/>
    </row>
    <row r="554" spans="6:6" ht="15.75" customHeight="1">
      <c r="F554" s="1"/>
    </row>
    <row r="555" spans="6:6" ht="15.75" customHeight="1">
      <c r="F555" s="1"/>
    </row>
    <row r="556" spans="6:6" ht="15.75" customHeight="1">
      <c r="F556" s="1"/>
    </row>
    <row r="557" spans="6:6" ht="15.75" customHeight="1">
      <c r="F557" s="1"/>
    </row>
    <row r="558" spans="6:6" ht="15.75" customHeight="1">
      <c r="F558" s="1"/>
    </row>
    <row r="559" spans="6:6" ht="15.75" customHeight="1">
      <c r="F559" s="1"/>
    </row>
    <row r="560" spans="6:6" ht="15.75" customHeight="1">
      <c r="F560" s="1"/>
    </row>
    <row r="561" spans="6:6" ht="15.75" customHeight="1">
      <c r="F561" s="1"/>
    </row>
    <row r="562" spans="6:6" ht="15.75" customHeight="1">
      <c r="F562" s="1"/>
    </row>
    <row r="563" spans="6:6" ht="15.75" customHeight="1">
      <c r="F563" s="1"/>
    </row>
    <row r="564" spans="6:6" ht="15.75" customHeight="1">
      <c r="F564" s="1"/>
    </row>
    <row r="565" spans="6:6" ht="15.75" customHeight="1">
      <c r="F565" s="1"/>
    </row>
    <row r="566" spans="6:6" ht="15.75" customHeight="1">
      <c r="F566" s="1"/>
    </row>
    <row r="567" spans="6:6" ht="15.75" customHeight="1">
      <c r="F567" s="1"/>
    </row>
    <row r="568" spans="6:6" ht="15.75" customHeight="1">
      <c r="F568" s="1"/>
    </row>
    <row r="569" spans="6:6" ht="15.75" customHeight="1">
      <c r="F569" s="1"/>
    </row>
    <row r="570" spans="6:6" ht="15.75" customHeight="1">
      <c r="F570" s="1"/>
    </row>
    <row r="571" spans="6:6" ht="15.75" customHeight="1">
      <c r="F571" s="1"/>
    </row>
    <row r="572" spans="6:6" ht="15.75" customHeight="1">
      <c r="F572" s="1"/>
    </row>
    <row r="573" spans="6:6" ht="15.75" customHeight="1">
      <c r="F573" s="1"/>
    </row>
    <row r="574" spans="6:6" ht="15.75" customHeight="1">
      <c r="F574" s="1"/>
    </row>
    <row r="575" spans="6:6" ht="15.75" customHeight="1">
      <c r="F575" s="1"/>
    </row>
    <row r="576" spans="6:6" ht="15.75" customHeight="1">
      <c r="F576" s="1"/>
    </row>
    <row r="577" spans="6:6" ht="15.75" customHeight="1">
      <c r="F577" s="1"/>
    </row>
    <row r="578" spans="6:6" ht="15.75" customHeight="1">
      <c r="F578" s="1"/>
    </row>
    <row r="579" spans="6:6" ht="15.75" customHeight="1">
      <c r="F579" s="1"/>
    </row>
    <row r="580" spans="6:6" ht="15.75" customHeight="1">
      <c r="F580" s="1"/>
    </row>
    <row r="581" spans="6:6" ht="15.75" customHeight="1">
      <c r="F581" s="1"/>
    </row>
    <row r="582" spans="6:6" ht="15.75" customHeight="1">
      <c r="F582" s="1"/>
    </row>
    <row r="583" spans="6:6" ht="15.75" customHeight="1">
      <c r="F583" s="1"/>
    </row>
    <row r="584" spans="6:6" ht="15.75" customHeight="1">
      <c r="F584" s="1"/>
    </row>
    <row r="585" spans="6:6" ht="15.75" customHeight="1">
      <c r="F585" s="1"/>
    </row>
    <row r="586" spans="6:6" ht="15.75" customHeight="1">
      <c r="F586" s="1"/>
    </row>
    <row r="587" spans="6:6" ht="15.75" customHeight="1">
      <c r="F587" s="1"/>
    </row>
    <row r="588" spans="6:6" ht="15.75" customHeight="1">
      <c r="F588" s="1"/>
    </row>
    <row r="589" spans="6:6" ht="15.75" customHeight="1">
      <c r="F589" s="1"/>
    </row>
    <row r="590" spans="6:6" ht="15.75" customHeight="1">
      <c r="F590" s="1"/>
    </row>
    <row r="591" spans="6:6" ht="15.75" customHeight="1">
      <c r="F591" s="1"/>
    </row>
    <row r="592" spans="6:6" ht="15.75" customHeight="1">
      <c r="F592" s="1"/>
    </row>
    <row r="593" spans="6:6" ht="15.75" customHeight="1">
      <c r="F593" s="1"/>
    </row>
    <row r="594" spans="6:6" ht="15.75" customHeight="1">
      <c r="F594" s="1"/>
    </row>
    <row r="595" spans="6:6" ht="15.75" customHeight="1">
      <c r="F595" s="1"/>
    </row>
    <row r="596" spans="6:6" ht="15.75" customHeight="1">
      <c r="F596" s="1"/>
    </row>
    <row r="597" spans="6:6" ht="15.75" customHeight="1">
      <c r="F597" s="1"/>
    </row>
    <row r="598" spans="6:6" ht="15.75" customHeight="1">
      <c r="F598" s="1"/>
    </row>
    <row r="599" spans="6:6" ht="15.75" customHeight="1">
      <c r="F599" s="1"/>
    </row>
    <row r="600" spans="6:6" ht="15.75" customHeight="1">
      <c r="F600" s="1"/>
    </row>
    <row r="601" spans="6:6" ht="15.75" customHeight="1">
      <c r="F601" s="1"/>
    </row>
    <row r="602" spans="6:6" ht="15.75" customHeight="1">
      <c r="F602" s="1"/>
    </row>
    <row r="603" spans="6:6" ht="15.75" customHeight="1">
      <c r="F603" s="1"/>
    </row>
    <row r="604" spans="6:6" ht="15.75" customHeight="1">
      <c r="F604" s="1"/>
    </row>
    <row r="605" spans="6:6" ht="15.75" customHeight="1">
      <c r="F605" s="1"/>
    </row>
    <row r="606" spans="6:6" ht="15.75" customHeight="1">
      <c r="F606" s="1"/>
    </row>
    <row r="607" spans="6:6" ht="15.75" customHeight="1">
      <c r="F607" s="1"/>
    </row>
    <row r="608" spans="6:6" ht="15.75" customHeight="1">
      <c r="F608" s="1"/>
    </row>
    <row r="609" spans="6:6" ht="15.75" customHeight="1">
      <c r="F609" s="1"/>
    </row>
    <row r="610" spans="6:6" ht="15.75" customHeight="1">
      <c r="F610" s="1"/>
    </row>
    <row r="611" spans="6:6" ht="15.75" customHeight="1">
      <c r="F611" s="1"/>
    </row>
    <row r="612" spans="6:6" ht="15.75" customHeight="1">
      <c r="F612" s="1"/>
    </row>
    <row r="613" spans="6:6" ht="15.75" customHeight="1">
      <c r="F613" s="1"/>
    </row>
    <row r="614" spans="6:6" ht="15.75" customHeight="1">
      <c r="F614" s="1"/>
    </row>
    <row r="615" spans="6:6" ht="15.75" customHeight="1">
      <c r="F615" s="1"/>
    </row>
    <row r="616" spans="6:6" ht="15.75" customHeight="1">
      <c r="F616" s="1"/>
    </row>
    <row r="617" spans="6:6" ht="15.75" customHeight="1">
      <c r="F617" s="1"/>
    </row>
    <row r="618" spans="6:6" ht="15.75" customHeight="1">
      <c r="F618" s="1"/>
    </row>
    <row r="619" spans="6:6" ht="15.75" customHeight="1">
      <c r="F619" s="1"/>
    </row>
    <row r="620" spans="6:6" ht="15.75" customHeight="1">
      <c r="F620" s="1"/>
    </row>
    <row r="621" spans="6:6" ht="15.75" customHeight="1">
      <c r="F621" s="1"/>
    </row>
    <row r="622" spans="6:6" ht="15.75" customHeight="1">
      <c r="F622" s="1"/>
    </row>
    <row r="623" spans="6:6" ht="15.75" customHeight="1">
      <c r="F623" s="1"/>
    </row>
    <row r="624" spans="6:6" ht="15.75" customHeight="1">
      <c r="F624" s="1"/>
    </row>
    <row r="625" spans="6:6" ht="15.75" customHeight="1">
      <c r="F625" s="1"/>
    </row>
    <row r="626" spans="6:6" ht="15.75" customHeight="1">
      <c r="F626" s="1"/>
    </row>
    <row r="627" spans="6:6" ht="15.75" customHeight="1">
      <c r="F627" s="1"/>
    </row>
    <row r="628" spans="6:6" ht="15.75" customHeight="1">
      <c r="F628" s="1"/>
    </row>
    <row r="629" spans="6:6" ht="15.75" customHeight="1">
      <c r="F629" s="1"/>
    </row>
    <row r="630" spans="6:6" ht="15.75" customHeight="1">
      <c r="F630" s="1"/>
    </row>
    <row r="631" spans="6:6" ht="15.75" customHeight="1">
      <c r="F631" s="1"/>
    </row>
    <row r="632" spans="6:6" ht="15.75" customHeight="1">
      <c r="F632" s="1"/>
    </row>
    <row r="633" spans="6:6" ht="15.75" customHeight="1">
      <c r="F633" s="1"/>
    </row>
    <row r="634" spans="6:6" ht="15.75" customHeight="1">
      <c r="F634" s="1"/>
    </row>
    <row r="635" spans="6:6" ht="15.75" customHeight="1">
      <c r="F635" s="1"/>
    </row>
    <row r="636" spans="6:6" ht="15.75" customHeight="1">
      <c r="F636" s="1"/>
    </row>
    <row r="637" spans="6:6" ht="15.75" customHeight="1">
      <c r="F637" s="1"/>
    </row>
    <row r="638" spans="6:6" ht="15.75" customHeight="1">
      <c r="F638" s="1"/>
    </row>
    <row r="639" spans="6:6" ht="15.75" customHeight="1">
      <c r="F639" s="1"/>
    </row>
    <row r="640" spans="6:6" ht="15.75" customHeight="1">
      <c r="F640" s="1"/>
    </row>
    <row r="641" spans="6:6" ht="15.75" customHeight="1">
      <c r="F641" s="1"/>
    </row>
    <row r="642" spans="6:6" ht="15.75" customHeight="1">
      <c r="F642" s="1"/>
    </row>
    <row r="643" spans="6:6" ht="15.75" customHeight="1">
      <c r="F643" s="1"/>
    </row>
    <row r="644" spans="6:6" ht="15.75" customHeight="1">
      <c r="F644" s="1"/>
    </row>
    <row r="645" spans="6:6" ht="15.75" customHeight="1">
      <c r="F645" s="1"/>
    </row>
    <row r="646" spans="6:6" ht="15.75" customHeight="1">
      <c r="F646" s="1"/>
    </row>
    <row r="647" spans="6:6" ht="15.75" customHeight="1">
      <c r="F647" s="1"/>
    </row>
    <row r="648" spans="6:6" ht="15.75" customHeight="1">
      <c r="F648" s="1"/>
    </row>
    <row r="649" spans="6:6" ht="15.75" customHeight="1">
      <c r="F649" s="1"/>
    </row>
    <row r="650" spans="6:6" ht="15.75" customHeight="1">
      <c r="F650" s="1"/>
    </row>
    <row r="651" spans="6:6" ht="15.75" customHeight="1">
      <c r="F651" s="1"/>
    </row>
    <row r="652" spans="6:6" ht="15.75" customHeight="1">
      <c r="F652" s="1"/>
    </row>
    <row r="653" spans="6:6" ht="15.75" customHeight="1">
      <c r="F653" s="1"/>
    </row>
    <row r="654" spans="6:6" ht="15.75" customHeight="1">
      <c r="F654" s="1"/>
    </row>
    <row r="655" spans="6:6" ht="15.75" customHeight="1">
      <c r="F655" s="1"/>
    </row>
    <row r="656" spans="6:6" ht="15.75" customHeight="1">
      <c r="F656" s="1"/>
    </row>
    <row r="657" spans="6:6" ht="15.75" customHeight="1">
      <c r="F657" s="1"/>
    </row>
    <row r="658" spans="6:6" ht="15.75" customHeight="1">
      <c r="F658" s="1"/>
    </row>
    <row r="659" spans="6:6" ht="15.75" customHeight="1">
      <c r="F659" s="1"/>
    </row>
    <row r="660" spans="6:6" ht="15.75" customHeight="1">
      <c r="F660" s="1"/>
    </row>
    <row r="661" spans="6:6" ht="15.75" customHeight="1">
      <c r="F661" s="1"/>
    </row>
    <row r="662" spans="6:6" ht="15.75" customHeight="1">
      <c r="F662" s="1"/>
    </row>
    <row r="663" spans="6:6" ht="15.75" customHeight="1">
      <c r="F663" s="1"/>
    </row>
    <row r="664" spans="6:6" ht="15.75" customHeight="1">
      <c r="F664" s="1"/>
    </row>
    <row r="665" spans="6:6" ht="15.75" customHeight="1">
      <c r="F665" s="1"/>
    </row>
    <row r="666" spans="6:6" ht="15.75" customHeight="1">
      <c r="F666" s="1"/>
    </row>
    <row r="667" spans="6:6" ht="15.75" customHeight="1">
      <c r="F667" s="1"/>
    </row>
    <row r="668" spans="6:6" ht="15.75" customHeight="1">
      <c r="F668" s="1"/>
    </row>
    <row r="669" spans="6:6" ht="15.75" customHeight="1">
      <c r="F669" s="1"/>
    </row>
    <row r="670" spans="6:6" ht="15.75" customHeight="1">
      <c r="F670" s="1"/>
    </row>
    <row r="671" spans="6:6" ht="15.75" customHeight="1">
      <c r="F671" s="1"/>
    </row>
    <row r="672" spans="6:6" ht="15.75" customHeight="1">
      <c r="F672" s="1"/>
    </row>
    <row r="673" spans="6:6" ht="15.75" customHeight="1">
      <c r="F673" s="1"/>
    </row>
    <row r="674" spans="6:6" ht="15.75" customHeight="1">
      <c r="F674" s="1"/>
    </row>
    <row r="675" spans="6:6" ht="15.75" customHeight="1">
      <c r="F675" s="1"/>
    </row>
    <row r="676" spans="6:6" ht="15.75" customHeight="1">
      <c r="F676" s="1"/>
    </row>
    <row r="677" spans="6:6" ht="15.75" customHeight="1">
      <c r="F677" s="1"/>
    </row>
    <row r="678" spans="6:6" ht="15.75" customHeight="1">
      <c r="F678" s="1"/>
    </row>
    <row r="679" spans="6:6" ht="15.75" customHeight="1">
      <c r="F679" s="1"/>
    </row>
    <row r="680" spans="6:6" ht="15.75" customHeight="1">
      <c r="F680" s="1"/>
    </row>
    <row r="681" spans="6:6" ht="15.75" customHeight="1">
      <c r="F681" s="1"/>
    </row>
    <row r="682" spans="6:6" ht="15.75" customHeight="1">
      <c r="F682" s="1"/>
    </row>
    <row r="683" spans="6:6" ht="15.75" customHeight="1">
      <c r="F683" s="1"/>
    </row>
    <row r="684" spans="6:6" ht="15.75" customHeight="1">
      <c r="F684" s="1"/>
    </row>
    <row r="685" spans="6:6" ht="15.75" customHeight="1">
      <c r="F685" s="1"/>
    </row>
    <row r="686" spans="6:6" ht="15.75" customHeight="1">
      <c r="F686" s="1"/>
    </row>
    <row r="687" spans="6:6" ht="15.75" customHeight="1">
      <c r="F687" s="1"/>
    </row>
    <row r="688" spans="6:6" ht="15.75" customHeight="1">
      <c r="F688" s="1"/>
    </row>
    <row r="689" spans="6:6" ht="15.75" customHeight="1">
      <c r="F689" s="1"/>
    </row>
    <row r="690" spans="6:6" ht="15.75" customHeight="1">
      <c r="F690" s="1"/>
    </row>
    <row r="691" spans="6:6" ht="15.75" customHeight="1">
      <c r="F691" s="1"/>
    </row>
    <row r="692" spans="6:6" ht="15.75" customHeight="1">
      <c r="F692" s="1"/>
    </row>
    <row r="693" spans="6:6" ht="15.75" customHeight="1">
      <c r="F693" s="1"/>
    </row>
    <row r="694" spans="6:6" ht="15.75" customHeight="1">
      <c r="F694" s="1"/>
    </row>
    <row r="695" spans="6:6" ht="15.75" customHeight="1">
      <c r="F695" s="1"/>
    </row>
    <row r="696" spans="6:6" ht="15.75" customHeight="1">
      <c r="F696" s="1"/>
    </row>
    <row r="697" spans="6:6" ht="15.75" customHeight="1">
      <c r="F697" s="1"/>
    </row>
    <row r="698" spans="6:6" ht="15.75" customHeight="1">
      <c r="F698" s="1"/>
    </row>
    <row r="699" spans="6:6" ht="15.75" customHeight="1">
      <c r="F699" s="1"/>
    </row>
    <row r="700" spans="6:6" ht="15.75" customHeight="1">
      <c r="F700" s="1"/>
    </row>
    <row r="701" spans="6:6" ht="15.75" customHeight="1">
      <c r="F701" s="1"/>
    </row>
    <row r="702" spans="6:6" ht="15.75" customHeight="1">
      <c r="F702" s="1"/>
    </row>
    <row r="703" spans="6:6" ht="15.75" customHeight="1">
      <c r="F703" s="1"/>
    </row>
    <row r="704" spans="6:6" ht="15.75" customHeight="1">
      <c r="F704" s="1"/>
    </row>
    <row r="705" spans="6:6" ht="15.75" customHeight="1">
      <c r="F705" s="1"/>
    </row>
    <row r="706" spans="6:6" ht="15.75" customHeight="1">
      <c r="F706" s="1"/>
    </row>
    <row r="707" spans="6:6" ht="15.75" customHeight="1">
      <c r="F707" s="1"/>
    </row>
    <row r="708" spans="6:6" ht="15.75" customHeight="1">
      <c r="F708" s="1"/>
    </row>
    <row r="709" spans="6:6" ht="15.75" customHeight="1">
      <c r="F709" s="1"/>
    </row>
    <row r="710" spans="6:6" ht="15.75" customHeight="1">
      <c r="F710" s="1"/>
    </row>
    <row r="711" spans="6:6" ht="15.75" customHeight="1">
      <c r="F711" s="1"/>
    </row>
    <row r="712" spans="6:6" ht="15.75" customHeight="1">
      <c r="F712" s="1"/>
    </row>
    <row r="713" spans="6:6" ht="15.75" customHeight="1">
      <c r="F713" s="1"/>
    </row>
    <row r="714" spans="6:6" ht="15.75" customHeight="1">
      <c r="F714" s="1"/>
    </row>
    <row r="715" spans="6:6" ht="15.75" customHeight="1">
      <c r="F715" s="1"/>
    </row>
    <row r="716" spans="6:6" ht="15.75" customHeight="1">
      <c r="F716" s="1"/>
    </row>
    <row r="717" spans="6:6" ht="15.75" customHeight="1">
      <c r="F717" s="1"/>
    </row>
    <row r="718" spans="6:6" ht="15.75" customHeight="1">
      <c r="F718" s="1"/>
    </row>
    <row r="719" spans="6:6" ht="15.75" customHeight="1">
      <c r="F719" s="1"/>
    </row>
    <row r="720" spans="6:6" ht="15.75" customHeight="1">
      <c r="F720" s="1"/>
    </row>
    <row r="721" spans="6:6" ht="15.75" customHeight="1">
      <c r="F721" s="1"/>
    </row>
    <row r="722" spans="6:6" ht="15.75" customHeight="1">
      <c r="F722" s="1"/>
    </row>
    <row r="723" spans="6:6" ht="15.75" customHeight="1">
      <c r="F723" s="1"/>
    </row>
    <row r="724" spans="6:6" ht="15.75" customHeight="1">
      <c r="F724" s="1"/>
    </row>
    <row r="725" spans="6:6" ht="15.75" customHeight="1">
      <c r="F725" s="1"/>
    </row>
    <row r="726" spans="6:6" ht="15.75" customHeight="1">
      <c r="F726" s="1"/>
    </row>
    <row r="727" spans="6:6" ht="15.75" customHeight="1">
      <c r="F727" s="1"/>
    </row>
    <row r="728" spans="6:6" ht="15.75" customHeight="1">
      <c r="F728" s="1"/>
    </row>
    <row r="729" spans="6:6" ht="15.75" customHeight="1">
      <c r="F729" s="1"/>
    </row>
    <row r="730" spans="6:6" ht="15.75" customHeight="1">
      <c r="F730" s="1"/>
    </row>
    <row r="731" spans="6:6" ht="15.75" customHeight="1">
      <c r="F731" s="1"/>
    </row>
    <row r="732" spans="6:6" ht="15.75" customHeight="1">
      <c r="F732" s="1"/>
    </row>
    <row r="733" spans="6:6" ht="15.75" customHeight="1">
      <c r="F733" s="1"/>
    </row>
    <row r="734" spans="6:6" ht="15.75" customHeight="1">
      <c r="F734" s="1"/>
    </row>
    <row r="735" spans="6:6" ht="15.75" customHeight="1">
      <c r="F735" s="1"/>
    </row>
    <row r="736" spans="6:6" ht="15.75" customHeight="1">
      <c r="F736" s="1"/>
    </row>
    <row r="737" spans="6:6" ht="15.75" customHeight="1">
      <c r="F737" s="1"/>
    </row>
    <row r="738" spans="6:6" ht="15.75" customHeight="1">
      <c r="F738" s="1"/>
    </row>
    <row r="739" spans="6:6" ht="15.75" customHeight="1">
      <c r="F739" s="1"/>
    </row>
    <row r="740" spans="6:6" ht="15.75" customHeight="1">
      <c r="F740" s="1"/>
    </row>
    <row r="741" spans="6:6" ht="15.75" customHeight="1">
      <c r="F741" s="1"/>
    </row>
    <row r="742" spans="6:6" ht="15.75" customHeight="1">
      <c r="F742" s="1"/>
    </row>
    <row r="743" spans="6:6" ht="15.75" customHeight="1">
      <c r="F743" s="1"/>
    </row>
    <row r="744" spans="6:6" ht="15.75" customHeight="1">
      <c r="F744" s="1"/>
    </row>
    <row r="745" spans="6:6" ht="15.75" customHeight="1">
      <c r="F745" s="1"/>
    </row>
    <row r="746" spans="6:6" ht="15.75" customHeight="1">
      <c r="F746" s="1"/>
    </row>
    <row r="747" spans="6:6" ht="15.75" customHeight="1">
      <c r="F747" s="1"/>
    </row>
    <row r="748" spans="6:6" ht="15.75" customHeight="1">
      <c r="F748" s="1"/>
    </row>
    <row r="749" spans="6:6" ht="15.75" customHeight="1">
      <c r="F749" s="1"/>
    </row>
    <row r="750" spans="6:6" ht="15.75" customHeight="1">
      <c r="F750" s="1"/>
    </row>
    <row r="751" spans="6:6" ht="15.75" customHeight="1">
      <c r="F751" s="1"/>
    </row>
    <row r="752" spans="6:6" ht="15.75" customHeight="1">
      <c r="F752" s="1"/>
    </row>
    <row r="753" spans="6:6" ht="15.75" customHeight="1">
      <c r="F753" s="1"/>
    </row>
    <row r="754" spans="6:6" ht="15.75" customHeight="1">
      <c r="F754" s="1"/>
    </row>
    <row r="755" spans="6:6" ht="15.75" customHeight="1">
      <c r="F755" s="1"/>
    </row>
    <row r="756" spans="6:6" ht="15.75" customHeight="1">
      <c r="F756" s="1"/>
    </row>
    <row r="757" spans="6:6" ht="15.75" customHeight="1">
      <c r="F757" s="1"/>
    </row>
    <row r="758" spans="6:6" ht="15.75" customHeight="1">
      <c r="F758" s="1"/>
    </row>
    <row r="759" spans="6:6" ht="15.75" customHeight="1">
      <c r="F759" s="1"/>
    </row>
    <row r="760" spans="6:6" ht="15.75" customHeight="1">
      <c r="F760" s="1"/>
    </row>
    <row r="761" spans="6:6" ht="15.75" customHeight="1">
      <c r="F761" s="1"/>
    </row>
    <row r="762" spans="6:6" ht="15.75" customHeight="1">
      <c r="F762" s="1"/>
    </row>
    <row r="763" spans="6:6" ht="15.75" customHeight="1">
      <c r="F763" s="1"/>
    </row>
    <row r="764" spans="6:6" ht="15.75" customHeight="1">
      <c r="F764" s="1"/>
    </row>
    <row r="765" spans="6:6" ht="15.75" customHeight="1">
      <c r="F765" s="1"/>
    </row>
    <row r="766" spans="6:6" ht="15.75" customHeight="1">
      <c r="F766" s="1"/>
    </row>
    <row r="767" spans="6:6" ht="15.75" customHeight="1">
      <c r="F767" s="1"/>
    </row>
    <row r="768" spans="6:6" ht="15.75" customHeight="1">
      <c r="F768" s="1"/>
    </row>
    <row r="769" spans="6:6" ht="15.75" customHeight="1">
      <c r="F769" s="1"/>
    </row>
    <row r="770" spans="6:6" ht="15.75" customHeight="1">
      <c r="F770" s="1"/>
    </row>
    <row r="771" spans="6:6" ht="15.75" customHeight="1">
      <c r="F771" s="1"/>
    </row>
    <row r="772" spans="6:6" ht="15.75" customHeight="1">
      <c r="F772" s="1"/>
    </row>
    <row r="773" spans="6:6" ht="15.75" customHeight="1">
      <c r="F773" s="1"/>
    </row>
    <row r="774" spans="6:6" ht="15.75" customHeight="1">
      <c r="F774" s="1"/>
    </row>
    <row r="775" spans="6:6" ht="15.75" customHeight="1">
      <c r="F775" s="1"/>
    </row>
    <row r="776" spans="6:6" ht="15.75" customHeight="1">
      <c r="F776" s="1"/>
    </row>
    <row r="777" spans="6:6" ht="15.75" customHeight="1">
      <c r="F777" s="1"/>
    </row>
    <row r="778" spans="6:6" ht="15.75" customHeight="1">
      <c r="F778" s="1"/>
    </row>
    <row r="779" spans="6:6" ht="15.75" customHeight="1">
      <c r="F779" s="1"/>
    </row>
    <row r="780" spans="6:6" ht="15.75" customHeight="1">
      <c r="F780" s="1"/>
    </row>
    <row r="781" spans="6:6" ht="15.75" customHeight="1">
      <c r="F781" s="1"/>
    </row>
    <row r="782" spans="6:6" ht="15.75" customHeight="1">
      <c r="F782" s="1"/>
    </row>
    <row r="783" spans="6:6" ht="15.75" customHeight="1">
      <c r="F783" s="1"/>
    </row>
    <row r="784" spans="6:6" ht="15.75" customHeight="1">
      <c r="F784" s="1"/>
    </row>
    <row r="785" spans="6:6" ht="15.75" customHeight="1">
      <c r="F785" s="1"/>
    </row>
    <row r="786" spans="6:6" ht="15.75" customHeight="1">
      <c r="F786" s="1"/>
    </row>
    <row r="787" spans="6:6" ht="15.75" customHeight="1">
      <c r="F787" s="1"/>
    </row>
    <row r="788" spans="6:6" ht="15.75" customHeight="1">
      <c r="F788" s="1"/>
    </row>
    <row r="789" spans="6:6" ht="15.75" customHeight="1">
      <c r="F789" s="1"/>
    </row>
    <row r="790" spans="6:6" ht="15.75" customHeight="1">
      <c r="F790" s="1"/>
    </row>
    <row r="791" spans="6:6" ht="15.75" customHeight="1">
      <c r="F791" s="1"/>
    </row>
    <row r="792" spans="6:6" ht="15.75" customHeight="1">
      <c r="F792" s="1"/>
    </row>
    <row r="793" spans="6:6" ht="15.75" customHeight="1">
      <c r="F793" s="1"/>
    </row>
    <row r="794" spans="6:6" ht="15.75" customHeight="1">
      <c r="F794" s="1"/>
    </row>
    <row r="795" spans="6:6" ht="15.75" customHeight="1">
      <c r="F795" s="1"/>
    </row>
    <row r="796" spans="6:6" ht="15.75" customHeight="1">
      <c r="F796" s="1"/>
    </row>
    <row r="797" spans="6:6" ht="15.75" customHeight="1">
      <c r="F797" s="1"/>
    </row>
    <row r="798" spans="6:6" ht="15.75" customHeight="1">
      <c r="F798" s="1"/>
    </row>
    <row r="799" spans="6:6" ht="15.75" customHeight="1">
      <c r="F799" s="1"/>
    </row>
    <row r="800" spans="6:6" ht="15.75" customHeight="1">
      <c r="F800" s="1"/>
    </row>
    <row r="801" spans="6:6" ht="15.75" customHeight="1">
      <c r="F801" s="1"/>
    </row>
    <row r="802" spans="6:6" ht="15.75" customHeight="1">
      <c r="F802" s="1"/>
    </row>
    <row r="803" spans="6:6" ht="15.75" customHeight="1">
      <c r="F803" s="1"/>
    </row>
    <row r="804" spans="6:6" ht="15.75" customHeight="1">
      <c r="F804" s="1"/>
    </row>
    <row r="805" spans="6:6" ht="15.75" customHeight="1">
      <c r="F805" s="1"/>
    </row>
    <row r="806" spans="6:6" ht="15.75" customHeight="1">
      <c r="F806" s="1"/>
    </row>
    <row r="807" spans="6:6" ht="15.75" customHeight="1">
      <c r="F807" s="1"/>
    </row>
    <row r="808" spans="6:6" ht="15.75" customHeight="1">
      <c r="F808" s="1"/>
    </row>
    <row r="809" spans="6:6" ht="15.75" customHeight="1">
      <c r="F809" s="1"/>
    </row>
    <row r="810" spans="6:6" ht="15.75" customHeight="1">
      <c r="F810" s="1"/>
    </row>
    <row r="811" spans="6:6" ht="15.75" customHeight="1">
      <c r="F811" s="1"/>
    </row>
    <row r="812" spans="6:6" ht="15.75" customHeight="1">
      <c r="F812" s="1"/>
    </row>
    <row r="813" spans="6:6" ht="15.75" customHeight="1">
      <c r="F813" s="1"/>
    </row>
    <row r="814" spans="6:6" ht="15.75" customHeight="1">
      <c r="F814" s="1"/>
    </row>
    <row r="815" spans="6:6" ht="15.75" customHeight="1">
      <c r="F815" s="1"/>
    </row>
    <row r="816" spans="6:6" ht="15.75" customHeight="1">
      <c r="F816" s="1"/>
    </row>
    <row r="817" spans="6:6" ht="15.75" customHeight="1">
      <c r="F817" s="1"/>
    </row>
    <row r="818" spans="6:6" ht="15.75" customHeight="1">
      <c r="F818" s="1"/>
    </row>
    <row r="819" spans="6:6" ht="15.75" customHeight="1">
      <c r="F819" s="1"/>
    </row>
    <row r="820" spans="6:6" ht="15.75" customHeight="1">
      <c r="F820" s="1"/>
    </row>
    <row r="821" spans="6:6" ht="15.75" customHeight="1">
      <c r="F821" s="1"/>
    </row>
    <row r="822" spans="6:6" ht="15.75" customHeight="1">
      <c r="F822" s="1"/>
    </row>
    <row r="823" spans="6:6" ht="15.75" customHeight="1">
      <c r="F823" s="1"/>
    </row>
    <row r="824" spans="6:6" ht="15.75" customHeight="1">
      <c r="F824" s="1"/>
    </row>
    <row r="825" spans="6:6" ht="15.75" customHeight="1">
      <c r="F825" s="1"/>
    </row>
    <row r="826" spans="6:6" ht="15.75" customHeight="1">
      <c r="F826" s="1"/>
    </row>
    <row r="827" spans="6:6" ht="15.75" customHeight="1">
      <c r="F827" s="1"/>
    </row>
    <row r="828" spans="6:6" ht="15.75" customHeight="1">
      <c r="F828" s="1"/>
    </row>
    <row r="829" spans="6:6" ht="15.75" customHeight="1">
      <c r="F829" s="1"/>
    </row>
    <row r="830" spans="6:6" ht="15.75" customHeight="1">
      <c r="F830" s="1"/>
    </row>
    <row r="831" spans="6:6" ht="15.75" customHeight="1">
      <c r="F831" s="1"/>
    </row>
    <row r="832" spans="6:6" ht="15.75" customHeight="1">
      <c r="F832" s="1"/>
    </row>
    <row r="833" spans="6:6" ht="15.75" customHeight="1">
      <c r="F833" s="1"/>
    </row>
    <row r="834" spans="6:6" ht="15.75" customHeight="1">
      <c r="F834" s="1"/>
    </row>
    <row r="835" spans="6:6" ht="15.75" customHeight="1">
      <c r="F835" s="1"/>
    </row>
    <row r="836" spans="6:6" ht="15.75" customHeight="1">
      <c r="F836" s="1"/>
    </row>
    <row r="837" spans="6:6" ht="15.75" customHeight="1">
      <c r="F837" s="1"/>
    </row>
    <row r="838" spans="6:6" ht="15.75" customHeight="1">
      <c r="F838" s="1"/>
    </row>
    <row r="839" spans="6:6" ht="15.75" customHeight="1">
      <c r="F839" s="1"/>
    </row>
    <row r="840" spans="6:6" ht="15.75" customHeight="1">
      <c r="F840" s="1"/>
    </row>
    <row r="841" spans="6:6" ht="15.75" customHeight="1">
      <c r="F841" s="1"/>
    </row>
    <row r="842" spans="6:6" ht="15.75" customHeight="1">
      <c r="F842" s="1"/>
    </row>
    <row r="843" spans="6:6" ht="15.75" customHeight="1">
      <c r="F843" s="1"/>
    </row>
    <row r="844" spans="6:6" ht="15.75" customHeight="1">
      <c r="F844" s="1"/>
    </row>
    <row r="845" spans="6:6" ht="15.75" customHeight="1">
      <c r="F845" s="1"/>
    </row>
    <row r="846" spans="6:6" ht="15.75" customHeight="1">
      <c r="F846" s="1"/>
    </row>
    <row r="847" spans="6:6" ht="15.75" customHeight="1">
      <c r="F847" s="1"/>
    </row>
    <row r="848" spans="6:6" ht="15.75" customHeight="1">
      <c r="F848" s="1"/>
    </row>
    <row r="849" spans="6:6" ht="15.75" customHeight="1">
      <c r="F849" s="1"/>
    </row>
    <row r="850" spans="6:6" ht="15.75" customHeight="1">
      <c r="F850" s="1"/>
    </row>
    <row r="851" spans="6:6" ht="15.75" customHeight="1">
      <c r="F851" s="1"/>
    </row>
    <row r="852" spans="6:6" ht="15.75" customHeight="1">
      <c r="F852" s="1"/>
    </row>
    <row r="853" spans="6:6" ht="15.75" customHeight="1">
      <c r="F853" s="1"/>
    </row>
    <row r="854" spans="6:6" ht="15.75" customHeight="1">
      <c r="F854" s="1"/>
    </row>
    <row r="855" spans="6:6" ht="15.75" customHeight="1">
      <c r="F855" s="1"/>
    </row>
    <row r="856" spans="6:6" ht="15.75" customHeight="1">
      <c r="F856" s="1"/>
    </row>
    <row r="857" spans="6:6" ht="15.75" customHeight="1">
      <c r="F857" s="1"/>
    </row>
    <row r="858" spans="6:6" ht="15.75" customHeight="1">
      <c r="F858" s="1"/>
    </row>
    <row r="859" spans="6:6" ht="15.75" customHeight="1">
      <c r="F859" s="1"/>
    </row>
    <row r="860" spans="6:6" ht="15.75" customHeight="1">
      <c r="F860" s="1"/>
    </row>
    <row r="861" spans="6:6" ht="15.75" customHeight="1">
      <c r="F861" s="1"/>
    </row>
    <row r="862" spans="6:6" ht="15.75" customHeight="1">
      <c r="F862" s="1"/>
    </row>
    <row r="863" spans="6:6" ht="15.75" customHeight="1">
      <c r="F863" s="1"/>
    </row>
    <row r="864" spans="6:6" ht="15.75" customHeight="1">
      <c r="F864" s="1"/>
    </row>
    <row r="865" spans="6:6" ht="15.75" customHeight="1">
      <c r="F865" s="1"/>
    </row>
    <row r="866" spans="6:6" ht="15.75" customHeight="1">
      <c r="F866" s="1"/>
    </row>
    <row r="867" spans="6:6" ht="15.75" customHeight="1">
      <c r="F867" s="1"/>
    </row>
    <row r="868" spans="6:6" ht="15.75" customHeight="1">
      <c r="F868" s="1"/>
    </row>
    <row r="869" spans="6:6" ht="15.75" customHeight="1">
      <c r="F869" s="1"/>
    </row>
    <row r="870" spans="6:6" ht="15.75" customHeight="1">
      <c r="F870" s="1"/>
    </row>
    <row r="871" spans="6:6" ht="15.75" customHeight="1">
      <c r="F871" s="1"/>
    </row>
    <row r="872" spans="6:6" ht="15.75" customHeight="1">
      <c r="F872" s="1"/>
    </row>
    <row r="873" spans="6:6" ht="15.75" customHeight="1">
      <c r="F873" s="1"/>
    </row>
    <row r="874" spans="6:6" ht="15.75" customHeight="1">
      <c r="F874" s="1"/>
    </row>
    <row r="875" spans="6:6" ht="15.75" customHeight="1">
      <c r="F875" s="1"/>
    </row>
    <row r="876" spans="6:6" ht="15.75" customHeight="1">
      <c r="F876" s="1"/>
    </row>
    <row r="877" spans="6:6" ht="15.75" customHeight="1">
      <c r="F877" s="1"/>
    </row>
    <row r="878" spans="6:6" ht="15.75" customHeight="1">
      <c r="F878" s="1"/>
    </row>
    <row r="879" spans="6:6" ht="15.75" customHeight="1">
      <c r="F879" s="1"/>
    </row>
    <row r="880" spans="6:6" ht="15.75" customHeight="1">
      <c r="F880" s="1"/>
    </row>
    <row r="881" spans="6:6" ht="15.75" customHeight="1">
      <c r="F881" s="1"/>
    </row>
    <row r="882" spans="6:6" ht="15.75" customHeight="1">
      <c r="F882" s="1"/>
    </row>
    <row r="883" spans="6:6" ht="15.75" customHeight="1">
      <c r="F883" s="1"/>
    </row>
    <row r="884" spans="6:6" ht="15.75" customHeight="1">
      <c r="F884" s="1"/>
    </row>
    <row r="885" spans="6:6" ht="15.75" customHeight="1">
      <c r="F885" s="1"/>
    </row>
    <row r="886" spans="6:6" ht="15.75" customHeight="1">
      <c r="F886" s="1"/>
    </row>
    <row r="887" spans="6:6" ht="15.75" customHeight="1">
      <c r="F887" s="1"/>
    </row>
    <row r="888" spans="6:6" ht="15.75" customHeight="1">
      <c r="F888" s="1"/>
    </row>
    <row r="889" spans="6:6" ht="15.75" customHeight="1">
      <c r="F889" s="1"/>
    </row>
    <row r="890" spans="6:6" ht="15.75" customHeight="1">
      <c r="F890" s="1"/>
    </row>
    <row r="891" spans="6:6" ht="15.75" customHeight="1">
      <c r="F891" s="1"/>
    </row>
    <row r="892" spans="6:6" ht="15.75" customHeight="1">
      <c r="F892" s="1"/>
    </row>
    <row r="893" spans="6:6" ht="15.75" customHeight="1">
      <c r="F893" s="1"/>
    </row>
    <row r="894" spans="6:6" ht="15.75" customHeight="1">
      <c r="F894" s="1"/>
    </row>
    <row r="895" spans="6:6" ht="15.75" customHeight="1">
      <c r="F895" s="1"/>
    </row>
    <row r="896" spans="6:6" ht="15.75" customHeight="1">
      <c r="F896" s="1"/>
    </row>
    <row r="897" spans="6:6" ht="15.75" customHeight="1">
      <c r="F897" s="1"/>
    </row>
    <row r="898" spans="6:6" ht="15.75" customHeight="1">
      <c r="F898" s="1"/>
    </row>
    <row r="899" spans="6:6" ht="15.75" customHeight="1">
      <c r="F899" s="1"/>
    </row>
    <row r="900" spans="6:6" ht="15.75" customHeight="1">
      <c r="F900" s="1"/>
    </row>
    <row r="901" spans="6:6" ht="15.75" customHeight="1">
      <c r="F901" s="1"/>
    </row>
    <row r="902" spans="6:6" ht="15.75" customHeight="1">
      <c r="F902" s="1"/>
    </row>
    <row r="903" spans="6:6" ht="15.75" customHeight="1">
      <c r="F903" s="1"/>
    </row>
    <row r="904" spans="6:6" ht="15.75" customHeight="1">
      <c r="F904" s="1"/>
    </row>
    <row r="905" spans="6:6" ht="15.75" customHeight="1">
      <c r="F905" s="1"/>
    </row>
    <row r="906" spans="6:6" ht="15.75" customHeight="1">
      <c r="F906" s="1"/>
    </row>
    <row r="907" spans="6:6" ht="15.75" customHeight="1">
      <c r="F907" s="1"/>
    </row>
    <row r="908" spans="6:6" ht="15.75" customHeight="1">
      <c r="F908" s="1"/>
    </row>
    <row r="909" spans="6:6" ht="15.75" customHeight="1">
      <c r="F909" s="1"/>
    </row>
    <row r="910" spans="6:6" ht="15.75" customHeight="1">
      <c r="F910" s="1"/>
    </row>
    <row r="911" spans="6:6" ht="15.75" customHeight="1">
      <c r="F911" s="1"/>
    </row>
    <row r="912" spans="6:6" ht="15.75" customHeight="1">
      <c r="F912" s="1"/>
    </row>
    <row r="913" spans="6:6" ht="15.75" customHeight="1">
      <c r="F913" s="1"/>
    </row>
    <row r="914" spans="6:6" ht="15.75" customHeight="1">
      <c r="F914" s="1"/>
    </row>
    <row r="915" spans="6:6" ht="15.75" customHeight="1">
      <c r="F915" s="1"/>
    </row>
    <row r="916" spans="6:6" ht="15.75" customHeight="1">
      <c r="F916" s="1"/>
    </row>
    <row r="917" spans="6:6" ht="15.75" customHeight="1">
      <c r="F917" s="1"/>
    </row>
    <row r="918" spans="6:6" ht="15.75" customHeight="1">
      <c r="F918" s="1"/>
    </row>
    <row r="919" spans="6:6" ht="15.75" customHeight="1">
      <c r="F919" s="1"/>
    </row>
    <row r="920" spans="6:6" ht="15.75" customHeight="1">
      <c r="F920" s="1"/>
    </row>
    <row r="921" spans="6:6" ht="15.75" customHeight="1">
      <c r="F921" s="1"/>
    </row>
    <row r="922" spans="6:6" ht="15.75" customHeight="1">
      <c r="F922" s="1"/>
    </row>
    <row r="923" spans="6:6" ht="15.75" customHeight="1">
      <c r="F923" s="1"/>
    </row>
    <row r="924" spans="6:6" ht="15.75" customHeight="1">
      <c r="F924" s="1"/>
    </row>
    <row r="925" spans="6:6" ht="15.75" customHeight="1">
      <c r="F925" s="1"/>
    </row>
    <row r="926" spans="6:6" ht="15.75" customHeight="1">
      <c r="F926" s="1"/>
    </row>
    <row r="927" spans="6:6" ht="15.75" customHeight="1">
      <c r="F927" s="1"/>
    </row>
    <row r="928" spans="6:6" ht="15.75" customHeight="1">
      <c r="F928" s="1"/>
    </row>
    <row r="929" spans="6:6" ht="15.75" customHeight="1">
      <c r="F929" s="1"/>
    </row>
    <row r="930" spans="6:6" ht="15.75" customHeight="1">
      <c r="F930" s="1"/>
    </row>
    <row r="931" spans="6:6" ht="15.75" customHeight="1">
      <c r="F931" s="1"/>
    </row>
    <row r="932" spans="6:6" ht="15.75" customHeight="1">
      <c r="F932" s="1"/>
    </row>
    <row r="933" spans="6:6" ht="15.75" customHeight="1">
      <c r="F933" s="1"/>
    </row>
    <row r="934" spans="6:6" ht="15.75" customHeight="1">
      <c r="F934" s="1"/>
    </row>
    <row r="935" spans="6:6" ht="15.75" customHeight="1">
      <c r="F935" s="1"/>
    </row>
    <row r="936" spans="6:6" ht="15.75" customHeight="1">
      <c r="F936" s="1"/>
    </row>
    <row r="937" spans="6:6" ht="15.75" customHeight="1">
      <c r="F937" s="1"/>
    </row>
    <row r="938" spans="6:6" ht="15.75" customHeight="1">
      <c r="F938" s="1"/>
    </row>
    <row r="939" spans="6:6" ht="15.75" customHeight="1">
      <c r="F939" s="1"/>
    </row>
    <row r="940" spans="6:6" ht="15.75" customHeight="1">
      <c r="F940" s="1"/>
    </row>
    <row r="941" spans="6:6" ht="15.75" customHeight="1">
      <c r="F941" s="1"/>
    </row>
    <row r="942" spans="6:6" ht="15.75" customHeight="1">
      <c r="F942" s="1"/>
    </row>
    <row r="943" spans="6:6" ht="15.75" customHeight="1">
      <c r="F943" s="1"/>
    </row>
    <row r="944" spans="6:6" ht="15.75" customHeight="1">
      <c r="F944" s="1"/>
    </row>
    <row r="945" spans="6:6" ht="15.75" customHeight="1">
      <c r="F945" s="1"/>
    </row>
    <row r="946" spans="6:6" ht="15.75" customHeight="1">
      <c r="F946" s="1"/>
    </row>
    <row r="947" spans="6:6" ht="15.75" customHeight="1">
      <c r="F947" s="1"/>
    </row>
    <row r="948" spans="6:6" ht="15.75" customHeight="1">
      <c r="F948" s="1"/>
    </row>
    <row r="949" spans="6:6" ht="15.75" customHeight="1">
      <c r="F949" s="1"/>
    </row>
    <row r="950" spans="6:6" ht="15.75" customHeight="1">
      <c r="F950" s="1"/>
    </row>
    <row r="951" spans="6:6" ht="15.75" customHeight="1">
      <c r="F951" s="1"/>
    </row>
    <row r="952" spans="6:6" ht="15.75" customHeight="1">
      <c r="F952" s="1"/>
    </row>
    <row r="953" spans="6:6" ht="15.75" customHeight="1">
      <c r="F953" s="1"/>
    </row>
    <row r="954" spans="6:6" ht="15.75" customHeight="1">
      <c r="F954" s="1"/>
    </row>
    <row r="955" spans="6:6" ht="15.75" customHeight="1">
      <c r="F955" s="1"/>
    </row>
    <row r="956" spans="6:6" ht="15.75" customHeight="1">
      <c r="F956" s="1"/>
    </row>
    <row r="957" spans="6:6" ht="15.75" customHeight="1">
      <c r="F957" s="1"/>
    </row>
    <row r="958" spans="6:6" ht="15.75" customHeight="1">
      <c r="F958" s="1"/>
    </row>
    <row r="959" spans="6:6" ht="15.75" customHeight="1">
      <c r="F959" s="1"/>
    </row>
    <row r="960" spans="6:6" ht="15.75" customHeight="1">
      <c r="F960" s="1"/>
    </row>
    <row r="961" spans="6:6" ht="15.75" customHeight="1">
      <c r="F961" s="1"/>
    </row>
    <row r="962" spans="6:6" ht="15.75" customHeight="1">
      <c r="F962" s="1"/>
    </row>
    <row r="963" spans="6:6" ht="15.75" customHeight="1">
      <c r="F963" s="1"/>
    </row>
    <row r="964" spans="6:6" ht="15.75" customHeight="1">
      <c r="F964" s="1"/>
    </row>
    <row r="965" spans="6:6" ht="15.75" customHeight="1">
      <c r="F965" s="1"/>
    </row>
    <row r="966" spans="6:6" ht="15.75" customHeight="1">
      <c r="F966" s="1"/>
    </row>
    <row r="967" spans="6:6" ht="15.75" customHeight="1">
      <c r="F967" s="1"/>
    </row>
    <row r="968" spans="6:6" ht="15.75" customHeight="1">
      <c r="F968" s="1"/>
    </row>
    <row r="969" spans="6:6" ht="15.75" customHeight="1">
      <c r="F969" s="1"/>
    </row>
    <row r="970" spans="6:6" ht="15.75" customHeight="1">
      <c r="F970" s="1"/>
    </row>
    <row r="971" spans="6:6" ht="15.75" customHeight="1">
      <c r="F971" s="1"/>
    </row>
    <row r="972" spans="6:6" ht="15.75" customHeight="1">
      <c r="F972" s="1"/>
    </row>
    <row r="973" spans="6:6" ht="15.75" customHeight="1">
      <c r="F973" s="1"/>
    </row>
    <row r="974" spans="6:6" ht="15.75" customHeight="1">
      <c r="F974" s="1"/>
    </row>
    <row r="975" spans="6:6" ht="15.75" customHeight="1">
      <c r="F975" s="1"/>
    </row>
    <row r="976" spans="6:6" ht="15.75" customHeight="1">
      <c r="F976" s="1"/>
    </row>
    <row r="977" spans="6:6" ht="15.75" customHeight="1">
      <c r="F977" s="1"/>
    </row>
    <row r="978" spans="6:6" ht="15.75" customHeight="1">
      <c r="F978" s="1"/>
    </row>
    <row r="979" spans="6:6" ht="15.75" customHeight="1">
      <c r="F979" s="1"/>
    </row>
    <row r="980" spans="6:6" ht="15.75" customHeight="1">
      <c r="F980" s="1"/>
    </row>
    <row r="981" spans="6:6" ht="15.75" customHeight="1">
      <c r="F981" s="1"/>
    </row>
    <row r="982" spans="6:6" ht="15.75" customHeight="1">
      <c r="F982" s="1"/>
    </row>
    <row r="983" spans="6:6" ht="15.75" customHeight="1">
      <c r="F983" s="1"/>
    </row>
    <row r="984" spans="6:6" ht="15.75" customHeight="1">
      <c r="F984" s="1"/>
    </row>
    <row r="985" spans="6:6" ht="15.75" customHeight="1">
      <c r="F985" s="1"/>
    </row>
    <row r="986" spans="6:6" ht="15.75" customHeight="1">
      <c r="F986" s="1"/>
    </row>
    <row r="987" spans="6:6" ht="15.75" customHeight="1">
      <c r="F987" s="1"/>
    </row>
    <row r="988" spans="6:6" ht="15.75" customHeight="1">
      <c r="F988" s="1"/>
    </row>
    <row r="989" spans="6:6" ht="15.75" customHeight="1">
      <c r="F989" s="1"/>
    </row>
    <row r="990" spans="6:6" ht="15.75" customHeight="1">
      <c r="F990" s="1"/>
    </row>
    <row r="991" spans="6:6" ht="15.75" customHeight="1">
      <c r="F991" s="1"/>
    </row>
    <row r="992" spans="6:6" ht="15.75" customHeight="1">
      <c r="F992" s="1"/>
    </row>
    <row r="993" spans="6:6" ht="15.75" customHeight="1">
      <c r="F993" s="1"/>
    </row>
    <row r="994" spans="6:6" ht="15.75" customHeight="1">
      <c r="F994" s="1"/>
    </row>
    <row r="995" spans="6:6" ht="15.75" customHeight="1">
      <c r="F995" s="1"/>
    </row>
    <row r="996" spans="6:6" ht="15.75" customHeight="1">
      <c r="F996" s="1"/>
    </row>
    <row r="997" spans="6:6" ht="15.75" customHeight="1">
      <c r="F997" s="1"/>
    </row>
    <row r="998" spans="6:6" ht="15.75" customHeight="1">
      <c r="F998" s="1"/>
    </row>
    <row r="999" spans="6:6" ht="15.75" customHeight="1">
      <c r="F999" s="1"/>
    </row>
    <row r="1000" spans="6:6" ht="15.75" customHeight="1">
      <c r="F1000" s="1"/>
    </row>
  </sheetData>
  <mergeCells count="3">
    <mergeCell ref="F24:K24"/>
    <mergeCell ref="F25:K25"/>
    <mergeCell ref="F26:K26"/>
  </mergeCells>
  <pageMargins left="0.7" right="0.7" top="0.75" bottom="0.75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000"/>
  <sheetViews>
    <sheetView tabSelected="1" topLeftCell="B1" zoomScaleNormal="100" workbookViewId="0">
      <selection activeCell="K27" sqref="K27"/>
    </sheetView>
  </sheetViews>
  <sheetFormatPr defaultColWidth="14.42578125" defaultRowHeight="15" customHeight="1"/>
  <cols>
    <col min="1" max="1" width="12.42578125" hidden="1" customWidth="1"/>
    <col min="2" max="2" width="24.140625" bestFit="1" customWidth="1"/>
    <col min="3" max="3" width="19.85546875" bestFit="1" customWidth="1"/>
    <col min="4" max="4" width="9.85546875" bestFit="1" customWidth="1"/>
    <col min="5" max="5" width="23.28515625" customWidth="1"/>
    <col min="6" max="6" width="25.85546875" bestFit="1" customWidth="1"/>
    <col min="7" max="7" width="30" bestFit="1" customWidth="1"/>
    <col min="8" max="8" width="13.140625" bestFit="1" customWidth="1"/>
    <col min="9" max="9" width="13.28515625" bestFit="1" customWidth="1"/>
    <col min="10" max="10" width="22.42578125" bestFit="1" customWidth="1"/>
    <col min="11" max="11" width="8.140625" customWidth="1"/>
    <col min="12" max="12" width="3" customWidth="1"/>
    <col min="13" max="13" width="5.85546875" bestFit="1" customWidth="1"/>
    <col min="14" max="14" width="19.42578125" bestFit="1" customWidth="1"/>
    <col min="15" max="15" width="18.7109375" bestFit="1" customWidth="1"/>
    <col min="16" max="16" width="8" bestFit="1" customWidth="1"/>
    <col min="17" max="17" width="3.140625" bestFit="1" customWidth="1"/>
    <col min="18" max="18" width="9.28515625" bestFit="1" customWidth="1"/>
    <col min="19" max="19" width="8.28515625" bestFit="1" customWidth="1"/>
    <col min="20" max="28" width="8.7109375" customWidth="1"/>
  </cols>
  <sheetData>
    <row r="1" spans="1:28" ht="27.75" thickBot="1">
      <c r="A1" s="159" t="s">
        <v>49</v>
      </c>
      <c r="B1" s="159"/>
      <c r="C1" s="159"/>
      <c r="D1" s="159"/>
      <c r="E1" s="159"/>
      <c r="F1" s="159"/>
      <c r="G1" s="159"/>
      <c r="H1" s="159"/>
      <c r="I1" s="159"/>
      <c r="J1" s="159"/>
      <c r="K1" s="160"/>
      <c r="L1" s="103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ht="19.5" thickTop="1" thickBot="1">
      <c r="A2" s="87" t="s">
        <v>111</v>
      </c>
      <c r="B2" s="87" t="s">
        <v>50</v>
      </c>
      <c r="C2" s="87" t="s">
        <v>51</v>
      </c>
      <c r="D2" s="87" t="s">
        <v>177</v>
      </c>
      <c r="E2" s="87" t="s">
        <v>52</v>
      </c>
      <c r="F2" s="87" t="s">
        <v>53</v>
      </c>
      <c r="G2" s="87" t="s">
        <v>54</v>
      </c>
      <c r="H2" s="87" t="s">
        <v>55</v>
      </c>
      <c r="I2" s="87" t="s">
        <v>56</v>
      </c>
      <c r="J2" s="87" t="s">
        <v>57</v>
      </c>
      <c r="K2" s="88" t="s">
        <v>58</v>
      </c>
      <c r="L2" s="104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ht="15.75" thickTop="1">
      <c r="A3" s="12" t="s">
        <v>124</v>
      </c>
      <c r="B3" s="7">
        <v>45685</v>
      </c>
      <c r="C3" s="8" t="s">
        <v>59</v>
      </c>
      <c r="D3" s="9">
        <f t="shared" ref="D3:D12" si="0">VALUE(RIGHT(C3,10))-VALUE(RIGHT(B3,10))</f>
        <v>7</v>
      </c>
      <c r="E3" s="8" t="s">
        <v>60</v>
      </c>
      <c r="F3" s="8" t="s">
        <v>61</v>
      </c>
      <c r="G3" s="8" t="s">
        <v>62</v>
      </c>
      <c r="H3" s="8" t="s">
        <v>63</v>
      </c>
      <c r="I3" s="8" t="s">
        <v>64</v>
      </c>
      <c r="J3" s="8" t="s">
        <v>65</v>
      </c>
      <c r="K3" s="82">
        <v>8</v>
      </c>
      <c r="L3" s="105"/>
      <c r="M3" s="6"/>
      <c r="N3" s="10" t="s">
        <v>66</v>
      </c>
      <c r="O3" s="10" t="s">
        <v>67</v>
      </c>
      <c r="P3" s="10" t="s">
        <v>68</v>
      </c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</row>
    <row r="4" spans="1:28">
      <c r="A4" s="12" t="s">
        <v>124</v>
      </c>
      <c r="B4" s="11">
        <v>45685</v>
      </c>
      <c r="C4" s="11">
        <v>45692</v>
      </c>
      <c r="D4" s="12">
        <f t="shared" si="0"/>
        <v>7</v>
      </c>
      <c r="E4" s="13" t="s">
        <v>60</v>
      </c>
      <c r="F4" s="13" t="s">
        <v>69</v>
      </c>
      <c r="G4" s="13" t="s">
        <v>70</v>
      </c>
      <c r="H4" s="13" t="s">
        <v>71</v>
      </c>
      <c r="I4" s="13" t="s">
        <v>72</v>
      </c>
      <c r="J4" s="13" t="s">
        <v>73</v>
      </c>
      <c r="K4" s="83">
        <v>7</v>
      </c>
      <c r="L4" s="105"/>
      <c r="M4" s="6"/>
      <c r="N4" s="14" t="s">
        <v>65</v>
      </c>
      <c r="O4" s="15">
        <f>SUMIF(J:J, "ANNULLATO", K:K)</f>
        <v>8</v>
      </c>
      <c r="P4" s="16">
        <f>COUNTIF(J:J, "ANNULLATO")</f>
        <v>1</v>
      </c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</row>
    <row r="5" spans="1:28">
      <c r="A5" s="12" t="s">
        <v>124</v>
      </c>
      <c r="B5" s="11">
        <v>45686</v>
      </c>
      <c r="C5" s="17" t="s">
        <v>74</v>
      </c>
      <c r="D5" s="12">
        <f t="shared" si="0"/>
        <v>16</v>
      </c>
      <c r="E5" s="13" t="s">
        <v>60</v>
      </c>
      <c r="F5" s="13" t="s">
        <v>61</v>
      </c>
      <c r="G5" s="13" t="s">
        <v>75</v>
      </c>
      <c r="H5" s="13" t="s">
        <v>63</v>
      </c>
      <c r="I5" s="13" t="s">
        <v>64</v>
      </c>
      <c r="J5" s="13" t="s">
        <v>73</v>
      </c>
      <c r="K5" s="83">
        <v>4.99</v>
      </c>
      <c r="L5" s="105"/>
      <c r="M5" s="6"/>
      <c r="N5" s="18" t="s">
        <v>76</v>
      </c>
      <c r="O5" s="19">
        <f>O8+O9</f>
        <v>33.489999999999995</v>
      </c>
      <c r="P5" s="20">
        <f>P9+P8</f>
        <v>2</v>
      </c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</row>
    <row r="6" spans="1:28">
      <c r="A6" s="12" t="s">
        <v>124</v>
      </c>
      <c r="B6" s="11">
        <v>45686</v>
      </c>
      <c r="C6" s="11">
        <v>45695</v>
      </c>
      <c r="D6" s="12">
        <f t="shared" si="0"/>
        <v>9</v>
      </c>
      <c r="E6" s="13" t="s">
        <v>60</v>
      </c>
      <c r="F6" s="13" t="s">
        <v>77</v>
      </c>
      <c r="G6" s="13" t="s">
        <v>78</v>
      </c>
      <c r="H6" s="13" t="s">
        <v>79</v>
      </c>
      <c r="I6" s="13" t="s">
        <v>80</v>
      </c>
      <c r="J6" s="13" t="s">
        <v>73</v>
      </c>
      <c r="K6" s="83">
        <v>4.99</v>
      </c>
      <c r="L6" s="105"/>
      <c r="M6" s="6"/>
      <c r="N6" s="21" t="s">
        <v>81</v>
      </c>
      <c r="O6" s="22">
        <f>SUMIF(J:J, "CONSEGNATO", K:K)</f>
        <v>236.04999999999998</v>
      </c>
      <c r="P6" s="55">
        <f>COUNTIF(J:J, "CONSEGNATO")</f>
        <v>16</v>
      </c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</row>
    <row r="7" spans="1:28" ht="15.75" thickBot="1">
      <c r="A7" s="24" t="s">
        <v>124</v>
      </c>
      <c r="B7" s="23">
        <v>45689</v>
      </c>
      <c r="C7" s="23">
        <v>45698</v>
      </c>
      <c r="D7" s="24">
        <f t="shared" si="0"/>
        <v>9</v>
      </c>
      <c r="E7" s="25" t="s">
        <v>60</v>
      </c>
      <c r="F7" s="25" t="s">
        <v>82</v>
      </c>
      <c r="G7" s="25" t="s">
        <v>83</v>
      </c>
      <c r="H7" s="25" t="s">
        <v>84</v>
      </c>
      <c r="I7" s="25" t="s">
        <v>80</v>
      </c>
      <c r="J7" s="25" t="s">
        <v>73</v>
      </c>
      <c r="K7" s="84">
        <v>9.48</v>
      </c>
      <c r="L7" s="105"/>
      <c r="M7" s="6"/>
      <c r="N7" s="21" t="s">
        <v>85</v>
      </c>
      <c r="O7" s="22">
        <f>SUMIF(J:J, "CONSEGNATO A MANO", K:K)</f>
        <v>18</v>
      </c>
      <c r="P7" s="55">
        <f>COUNTIF(J:J, "CONSEGNATO A MANO")</f>
        <v>2</v>
      </c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</row>
    <row r="8" spans="1:28" ht="15.75" thickTop="1">
      <c r="A8" s="80" t="s">
        <v>130</v>
      </c>
      <c r="B8" s="7">
        <v>45691</v>
      </c>
      <c r="C8" s="8" t="s">
        <v>86</v>
      </c>
      <c r="D8" s="9">
        <f t="shared" si="0"/>
        <v>17</v>
      </c>
      <c r="E8" s="8" t="s">
        <v>60</v>
      </c>
      <c r="F8" s="8" t="s">
        <v>87</v>
      </c>
      <c r="G8" s="8" t="s">
        <v>88</v>
      </c>
      <c r="H8" s="8" t="s">
        <v>89</v>
      </c>
      <c r="I8" s="8" t="s">
        <v>80</v>
      </c>
      <c r="J8" s="13" t="s">
        <v>73</v>
      </c>
      <c r="K8" s="82">
        <v>7</v>
      </c>
      <c r="L8" s="105"/>
      <c r="M8" s="6"/>
      <c r="N8" s="26" t="s">
        <v>90</v>
      </c>
      <c r="O8" s="27">
        <f>SUMIF(J:J, "DA CONSEGNARE", K:K)</f>
        <v>33.489999999999995</v>
      </c>
      <c r="P8" s="28">
        <f>COUNTIF(J:J, "DA CONSEGNARE")</f>
        <v>2</v>
      </c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</row>
    <row r="9" spans="1:28">
      <c r="A9" s="37" t="s">
        <v>130</v>
      </c>
      <c r="B9" s="11">
        <v>45693</v>
      </c>
      <c r="C9" s="11">
        <v>45699</v>
      </c>
      <c r="D9" s="9">
        <f t="shared" si="0"/>
        <v>6</v>
      </c>
      <c r="E9" s="13" t="s">
        <v>60</v>
      </c>
      <c r="F9" s="13" t="s">
        <v>91</v>
      </c>
      <c r="G9" s="13" t="s">
        <v>92</v>
      </c>
      <c r="H9" s="13" t="s">
        <v>93</v>
      </c>
      <c r="I9" s="13" t="s">
        <v>80</v>
      </c>
      <c r="J9" s="13" t="s">
        <v>73</v>
      </c>
      <c r="K9" s="83">
        <v>12.33</v>
      </c>
      <c r="L9" s="105"/>
      <c r="M9" s="6"/>
      <c r="N9" s="29" t="s">
        <v>94</v>
      </c>
      <c r="O9" s="30">
        <f>SUMIF(J:J, "DA RITIRARE", K:K)</f>
        <v>0</v>
      </c>
      <c r="P9" s="31">
        <f>COUNTIF(J:J, "DA RITIRARE")</f>
        <v>0</v>
      </c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</row>
    <row r="10" spans="1:28" ht="15.75" thickBot="1">
      <c r="A10" s="81" t="s">
        <v>130</v>
      </c>
      <c r="B10" s="23">
        <v>45695</v>
      </c>
      <c r="C10" s="23">
        <v>45702</v>
      </c>
      <c r="D10" s="24">
        <f t="shared" si="0"/>
        <v>7</v>
      </c>
      <c r="E10" s="25" t="s">
        <v>60</v>
      </c>
      <c r="F10" s="25" t="s">
        <v>95</v>
      </c>
      <c r="G10" s="25" t="s">
        <v>96</v>
      </c>
      <c r="H10" s="25" t="s">
        <v>97</v>
      </c>
      <c r="I10" s="25" t="s">
        <v>80</v>
      </c>
      <c r="J10" s="25" t="s">
        <v>73</v>
      </c>
      <c r="K10" s="84">
        <v>9</v>
      </c>
      <c r="L10" s="105"/>
      <c r="M10" s="6"/>
      <c r="N10" s="32" t="s">
        <v>98</v>
      </c>
      <c r="O10" s="33">
        <f t="shared" ref="O10:P10" si="1">SUM(O6:O9,O4)</f>
        <v>295.53999999999996</v>
      </c>
      <c r="P10" s="34">
        <f t="shared" si="1"/>
        <v>21</v>
      </c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</row>
    <row r="11" spans="1:28" ht="15.75" thickTop="1">
      <c r="A11" s="9" t="s">
        <v>137</v>
      </c>
      <c r="B11" s="7">
        <v>45699</v>
      </c>
      <c r="C11" s="7">
        <v>45700</v>
      </c>
      <c r="D11" s="9">
        <f t="shared" si="0"/>
        <v>1</v>
      </c>
      <c r="E11" s="8" t="s">
        <v>60</v>
      </c>
      <c r="F11" s="8" t="s">
        <v>99</v>
      </c>
      <c r="G11" s="8" t="s">
        <v>100</v>
      </c>
      <c r="H11" s="8" t="s">
        <v>101</v>
      </c>
      <c r="I11" s="8" t="s">
        <v>72</v>
      </c>
      <c r="J11" s="8" t="s">
        <v>73</v>
      </c>
      <c r="K11" s="82">
        <v>15</v>
      </c>
      <c r="L11" s="105"/>
      <c r="M11" s="6"/>
      <c r="N11" s="32" t="s">
        <v>102</v>
      </c>
      <c r="O11" s="33">
        <f>O10-(O4)</f>
        <v>287.53999999999996</v>
      </c>
      <c r="P11" s="34">
        <f>P10-P4</f>
        <v>20</v>
      </c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</row>
    <row r="12" spans="1:28">
      <c r="A12" s="12" t="s">
        <v>137</v>
      </c>
      <c r="B12" s="11">
        <v>45699</v>
      </c>
      <c r="C12" s="13" t="s">
        <v>74</v>
      </c>
      <c r="D12" s="9">
        <f t="shared" si="0"/>
        <v>3</v>
      </c>
      <c r="E12" s="13" t="s">
        <v>60</v>
      </c>
      <c r="F12" s="13" t="s">
        <v>103</v>
      </c>
      <c r="G12" s="13" t="s">
        <v>104</v>
      </c>
      <c r="H12" s="13" t="s">
        <v>105</v>
      </c>
      <c r="I12" s="13" t="s">
        <v>106</v>
      </c>
      <c r="J12" s="13" t="s">
        <v>73</v>
      </c>
      <c r="K12" s="83">
        <v>19.77</v>
      </c>
      <c r="L12" s="105"/>
      <c r="M12" s="6"/>
      <c r="N12" s="32" t="s">
        <v>188</v>
      </c>
      <c r="O12" s="33">
        <f>O11-O7</f>
        <v>269.53999999999996</v>
      </c>
      <c r="P12" s="34">
        <f>P11-P7</f>
        <v>18</v>
      </c>
      <c r="Q12" s="35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</row>
    <row r="13" spans="1:28" ht="15.75" thickBot="1">
      <c r="A13" s="12" t="s">
        <v>137</v>
      </c>
      <c r="B13" s="11">
        <v>45701</v>
      </c>
      <c r="C13" s="17" t="s">
        <v>107</v>
      </c>
      <c r="D13" s="12">
        <f t="shared" ref="D13:D20" si="2">VALUE(RIGHT(C13,10))-VALUE(RIGHT(B13,10))</f>
        <v>5</v>
      </c>
      <c r="E13" s="13" t="s">
        <v>60</v>
      </c>
      <c r="F13" s="13" t="s">
        <v>108</v>
      </c>
      <c r="G13" s="13" t="s">
        <v>109</v>
      </c>
      <c r="H13" s="13" t="s">
        <v>110</v>
      </c>
      <c r="I13" s="13" t="s">
        <v>80</v>
      </c>
      <c r="J13" s="13" t="s">
        <v>73</v>
      </c>
      <c r="K13" s="83">
        <v>24.99</v>
      </c>
      <c r="L13" s="105"/>
      <c r="T13" s="6"/>
      <c r="U13" s="6"/>
      <c r="V13" s="6"/>
      <c r="W13" s="6"/>
      <c r="X13" s="6"/>
      <c r="Y13" s="6"/>
      <c r="Z13" s="6"/>
      <c r="AA13" s="6"/>
      <c r="AB13" s="6"/>
    </row>
    <row r="14" spans="1:28" ht="15.75" thickTop="1">
      <c r="A14" s="12" t="s">
        <v>137</v>
      </c>
      <c r="B14" s="11">
        <v>45701</v>
      </c>
      <c r="C14" s="17" t="s">
        <v>107</v>
      </c>
      <c r="D14" s="12">
        <f t="shared" si="2"/>
        <v>5</v>
      </c>
      <c r="E14" s="13" t="s">
        <v>60</v>
      </c>
      <c r="F14" s="13" t="s">
        <v>114</v>
      </c>
      <c r="G14" s="13" t="s">
        <v>115</v>
      </c>
      <c r="H14" s="13" t="s">
        <v>116</v>
      </c>
      <c r="I14" s="13" t="s">
        <v>80</v>
      </c>
      <c r="J14" s="13" t="s">
        <v>73</v>
      </c>
      <c r="K14" s="83">
        <v>19</v>
      </c>
      <c r="L14" s="105"/>
      <c r="M14" s="157" t="s">
        <v>111</v>
      </c>
      <c r="N14" s="158"/>
      <c r="O14" s="158"/>
      <c r="P14" s="161" t="s">
        <v>112</v>
      </c>
      <c r="Q14" s="162"/>
      <c r="R14" s="163" t="s">
        <v>113</v>
      </c>
      <c r="S14" s="164"/>
      <c r="T14" s="6"/>
      <c r="U14" s="6"/>
      <c r="V14" s="6"/>
      <c r="W14" s="6"/>
      <c r="X14" s="6"/>
      <c r="Y14" s="6"/>
      <c r="Z14" s="6"/>
      <c r="AA14" s="6"/>
      <c r="AB14" s="6"/>
    </row>
    <row r="15" spans="1:28" ht="15.75" thickBot="1">
      <c r="A15" s="24" t="s">
        <v>137</v>
      </c>
      <c r="B15" s="23">
        <v>45702</v>
      </c>
      <c r="C15" s="25" t="s">
        <v>86</v>
      </c>
      <c r="D15" s="25">
        <f t="shared" si="2"/>
        <v>6</v>
      </c>
      <c r="E15" s="25" t="s">
        <v>60</v>
      </c>
      <c r="F15" s="25" t="s">
        <v>120</v>
      </c>
      <c r="G15" s="25" t="s">
        <v>121</v>
      </c>
      <c r="H15" s="25" t="s">
        <v>122</v>
      </c>
      <c r="I15" s="25" t="s">
        <v>72</v>
      </c>
      <c r="J15" s="25" t="s">
        <v>73</v>
      </c>
      <c r="K15" s="84">
        <v>6</v>
      </c>
      <c r="L15" s="106"/>
      <c r="M15" s="137" t="s">
        <v>176</v>
      </c>
      <c r="N15" s="134" t="s">
        <v>117</v>
      </c>
      <c r="O15" s="134" t="s">
        <v>189</v>
      </c>
      <c r="P15" s="135" t="s">
        <v>67</v>
      </c>
      <c r="Q15" s="135" t="s">
        <v>68</v>
      </c>
      <c r="R15" s="135" t="s">
        <v>118</v>
      </c>
      <c r="S15" s="138" t="s">
        <v>119</v>
      </c>
      <c r="T15" s="6"/>
      <c r="U15" s="6"/>
      <c r="V15" s="6"/>
      <c r="W15" s="6"/>
      <c r="X15" s="6"/>
      <c r="Y15" s="6"/>
      <c r="Z15" s="6"/>
      <c r="AA15" s="6"/>
      <c r="AB15" s="6"/>
    </row>
    <row r="16" spans="1:28" ht="15.75" thickTop="1">
      <c r="A16" s="80" t="s">
        <v>143</v>
      </c>
      <c r="B16" s="7" t="s">
        <v>107</v>
      </c>
      <c r="C16" s="8" t="s">
        <v>150</v>
      </c>
      <c r="D16" s="38">
        <f t="shared" si="2"/>
        <v>6</v>
      </c>
      <c r="E16" s="8" t="s">
        <v>60</v>
      </c>
      <c r="F16" s="8" t="s">
        <v>125</v>
      </c>
      <c r="G16" s="8" t="s">
        <v>126</v>
      </c>
      <c r="H16" s="8" t="s">
        <v>127</v>
      </c>
      <c r="I16" s="8" t="s">
        <v>80</v>
      </c>
      <c r="J16" s="8" t="s">
        <v>73</v>
      </c>
      <c r="K16" s="82">
        <v>8.5</v>
      </c>
      <c r="L16" s="105"/>
      <c r="M16" s="155">
        <v>1</v>
      </c>
      <c r="N16" s="131" t="s">
        <v>123</v>
      </c>
      <c r="O16" s="9" t="s">
        <v>124</v>
      </c>
      <c r="P16" s="132">
        <f t="shared" ref="P16:P21" si="3">SUMIFS(K:K, A:A, O16, J:J, "&lt;&gt;ANNULLATO")</f>
        <v>26.46</v>
      </c>
      <c r="Q16" s="9">
        <f t="shared" ref="Q16:Q21" si="4">COUNTIFS(A:A, O16, J:J, "&lt;&gt;ANNULLATO")</f>
        <v>4</v>
      </c>
      <c r="R16" s="133">
        <f>P16/Q16</f>
        <v>6.6150000000000002</v>
      </c>
      <c r="S16" s="139">
        <f t="shared" ref="S16:S19" si="5">P16/6</f>
        <v>4.41</v>
      </c>
      <c r="T16" s="6"/>
      <c r="U16" s="6"/>
      <c r="V16" s="6"/>
      <c r="W16" s="6"/>
      <c r="X16" s="6"/>
      <c r="Y16" s="6"/>
      <c r="Z16" s="6"/>
      <c r="AA16" s="6"/>
      <c r="AB16" s="6"/>
    </row>
    <row r="17" spans="1:28">
      <c r="A17" s="37" t="s">
        <v>143</v>
      </c>
      <c r="B17" s="11" t="s">
        <v>107</v>
      </c>
      <c r="C17" s="11" t="s">
        <v>107</v>
      </c>
      <c r="D17" s="13">
        <f t="shared" si="2"/>
        <v>0</v>
      </c>
      <c r="E17" s="13" t="s">
        <v>60</v>
      </c>
      <c r="F17" s="13" t="s">
        <v>131</v>
      </c>
      <c r="G17" s="13" t="s">
        <v>132</v>
      </c>
      <c r="H17" s="13" t="s">
        <v>133</v>
      </c>
      <c r="I17" s="13" t="s">
        <v>134</v>
      </c>
      <c r="J17" s="13" t="s">
        <v>135</v>
      </c>
      <c r="K17" s="83">
        <v>8</v>
      </c>
      <c r="L17" s="105"/>
      <c r="M17" s="155"/>
      <c r="N17" s="79" t="s">
        <v>129</v>
      </c>
      <c r="O17" s="37" t="s">
        <v>130</v>
      </c>
      <c r="P17" s="89">
        <f t="shared" si="3"/>
        <v>28.33</v>
      </c>
      <c r="Q17" s="90">
        <f t="shared" si="4"/>
        <v>3</v>
      </c>
      <c r="R17" s="91">
        <f t="shared" ref="R17:R21" si="6">P17/Q17</f>
        <v>9.4433333333333334</v>
      </c>
      <c r="S17" s="140">
        <f t="shared" si="5"/>
        <v>4.7216666666666667</v>
      </c>
      <c r="T17" s="6"/>
      <c r="U17" s="6"/>
      <c r="V17" s="6"/>
      <c r="W17" s="6"/>
      <c r="X17" s="6"/>
      <c r="Y17" s="6"/>
      <c r="Z17" s="6"/>
      <c r="AA17" s="6"/>
      <c r="AB17" s="6"/>
    </row>
    <row r="18" spans="1:28">
      <c r="A18" s="37" t="s">
        <v>143</v>
      </c>
      <c r="B18" s="11" t="s">
        <v>138</v>
      </c>
      <c r="C18" s="13" t="s">
        <v>151</v>
      </c>
      <c r="D18" s="8">
        <f t="shared" si="2"/>
        <v>6</v>
      </c>
      <c r="E18" s="13" t="s">
        <v>60</v>
      </c>
      <c r="F18" s="13" t="s">
        <v>139</v>
      </c>
      <c r="G18" s="13" t="s">
        <v>140</v>
      </c>
      <c r="H18" s="13" t="s">
        <v>141</v>
      </c>
      <c r="I18" s="13" t="s">
        <v>80</v>
      </c>
      <c r="J18" s="13" t="s">
        <v>73</v>
      </c>
      <c r="K18" s="83">
        <v>18</v>
      </c>
      <c r="L18" s="105"/>
      <c r="M18" s="155"/>
      <c r="N18" s="78" t="s">
        <v>136</v>
      </c>
      <c r="O18" s="12" t="s">
        <v>137</v>
      </c>
      <c r="P18" s="60">
        <f t="shared" si="3"/>
        <v>84.759999999999991</v>
      </c>
      <c r="Q18" s="12">
        <f t="shared" si="4"/>
        <v>5</v>
      </c>
      <c r="R18" s="36">
        <f t="shared" si="6"/>
        <v>16.951999999999998</v>
      </c>
      <c r="S18" s="141">
        <f t="shared" si="5"/>
        <v>14.126666666666665</v>
      </c>
      <c r="T18" s="6"/>
      <c r="U18" s="6"/>
      <c r="V18" s="6"/>
      <c r="W18" s="6"/>
      <c r="X18" s="6"/>
      <c r="Y18" s="6"/>
      <c r="Z18" s="6"/>
      <c r="AA18" s="6"/>
      <c r="AB18" s="6"/>
    </row>
    <row r="19" spans="1:28" ht="15.75" thickBot="1">
      <c r="A19" s="81" t="s">
        <v>143</v>
      </c>
      <c r="B19" s="23" t="s">
        <v>144</v>
      </c>
      <c r="C19" s="23" t="s">
        <v>190</v>
      </c>
      <c r="D19" s="25">
        <f t="shared" si="2"/>
        <v>5</v>
      </c>
      <c r="E19" s="25" t="s">
        <v>60</v>
      </c>
      <c r="F19" s="23" t="s">
        <v>145</v>
      </c>
      <c r="G19" s="23" t="s">
        <v>146</v>
      </c>
      <c r="H19" s="23" t="s">
        <v>147</v>
      </c>
      <c r="I19" s="23" t="s">
        <v>106</v>
      </c>
      <c r="J19" s="23" t="s">
        <v>73</v>
      </c>
      <c r="K19" s="84">
        <v>45</v>
      </c>
      <c r="L19" s="105"/>
      <c r="M19" s="155"/>
      <c r="N19" s="79" t="s">
        <v>142</v>
      </c>
      <c r="O19" s="37" t="s">
        <v>143</v>
      </c>
      <c r="P19" s="89">
        <f t="shared" si="3"/>
        <v>79.5</v>
      </c>
      <c r="Q19" s="90">
        <f t="shared" si="4"/>
        <v>4</v>
      </c>
      <c r="R19" s="91">
        <f t="shared" si="6"/>
        <v>19.875</v>
      </c>
      <c r="S19" s="140">
        <f t="shared" si="5"/>
        <v>13.25</v>
      </c>
      <c r="T19" s="6"/>
      <c r="U19" s="6"/>
      <c r="V19" s="6"/>
      <c r="W19" s="6"/>
      <c r="X19" s="6"/>
      <c r="Y19" s="6"/>
      <c r="Z19" s="6"/>
      <c r="AA19" s="6"/>
      <c r="AB19" s="6"/>
    </row>
    <row r="20" spans="1:28" ht="16.5" thickTop="1" thickBot="1">
      <c r="A20" s="9" t="s">
        <v>149</v>
      </c>
      <c r="B20" s="56" t="s">
        <v>151</v>
      </c>
      <c r="C20" s="56" t="s">
        <v>151</v>
      </c>
      <c r="D20" s="57">
        <f t="shared" si="2"/>
        <v>0</v>
      </c>
      <c r="E20" s="57" t="s">
        <v>60</v>
      </c>
      <c r="F20" s="57" t="s">
        <v>60</v>
      </c>
      <c r="G20" s="58" t="s">
        <v>152</v>
      </c>
      <c r="H20" s="58" t="s">
        <v>153</v>
      </c>
      <c r="I20" s="58" t="s">
        <v>134</v>
      </c>
      <c r="J20" s="59" t="s">
        <v>135</v>
      </c>
      <c r="K20" s="85">
        <v>10</v>
      </c>
      <c r="L20" s="136"/>
      <c r="M20" s="156"/>
      <c r="N20" s="120" t="s">
        <v>148</v>
      </c>
      <c r="O20" s="121" t="s">
        <v>149</v>
      </c>
      <c r="P20" s="122">
        <f t="shared" si="3"/>
        <v>59.989999999999995</v>
      </c>
      <c r="Q20" s="121">
        <f t="shared" si="4"/>
        <v>3</v>
      </c>
      <c r="R20" s="123">
        <f t="shared" si="6"/>
        <v>19.996666666666666</v>
      </c>
      <c r="S20" s="142">
        <f>P20/6</f>
        <v>9.9983333333333331</v>
      </c>
      <c r="T20" s="6"/>
      <c r="U20" s="6"/>
      <c r="V20" s="6"/>
      <c r="W20" s="6"/>
      <c r="X20" s="6"/>
      <c r="Y20" s="6"/>
      <c r="Z20" s="6"/>
      <c r="AA20" s="6"/>
      <c r="AB20" s="6"/>
    </row>
    <row r="21" spans="1:28" ht="15.75" customHeight="1" thickTop="1">
      <c r="A21" s="12" t="s">
        <v>149</v>
      </c>
      <c r="B21" s="98" t="s">
        <v>172</v>
      </c>
      <c r="C21" s="99"/>
      <c r="D21" s="99"/>
      <c r="E21" s="100" t="s">
        <v>60</v>
      </c>
      <c r="F21" s="98" t="s">
        <v>175</v>
      </c>
      <c r="G21" s="98" t="s">
        <v>174</v>
      </c>
      <c r="H21" s="98" t="s">
        <v>173</v>
      </c>
      <c r="I21" s="98" t="s">
        <v>72</v>
      </c>
      <c r="J21" s="99" t="s">
        <v>73</v>
      </c>
      <c r="K21" s="101">
        <v>25</v>
      </c>
      <c r="L21" s="6"/>
      <c r="M21" s="154">
        <v>2</v>
      </c>
      <c r="N21" s="124" t="s">
        <v>123</v>
      </c>
      <c r="O21" s="125" t="s">
        <v>202</v>
      </c>
      <c r="P21" s="126">
        <f t="shared" si="3"/>
        <v>8.5</v>
      </c>
      <c r="Q21" s="127">
        <f t="shared" si="4"/>
        <v>1</v>
      </c>
      <c r="R21" s="126">
        <f t="shared" si="6"/>
        <v>8.5</v>
      </c>
      <c r="S21" s="143">
        <f>P21/6</f>
        <v>1.4166666666666667</v>
      </c>
      <c r="T21" s="6"/>
      <c r="U21" s="6"/>
      <c r="V21" s="6"/>
      <c r="W21" s="6"/>
      <c r="X21" s="6"/>
      <c r="Y21" s="6"/>
      <c r="Z21" s="6"/>
      <c r="AA21" s="6"/>
      <c r="AB21" s="6"/>
    </row>
    <row r="22" spans="1:28" ht="15.75" customHeight="1" thickBot="1">
      <c r="A22" s="102" t="s">
        <v>149</v>
      </c>
      <c r="B22" s="108" t="s">
        <v>191</v>
      </c>
      <c r="C22" s="109"/>
      <c r="D22" s="109"/>
      <c r="E22" s="108" t="s">
        <v>60</v>
      </c>
      <c r="F22" s="108" t="s">
        <v>192</v>
      </c>
      <c r="G22" s="108" t="s">
        <v>193</v>
      </c>
      <c r="H22" s="108" t="s">
        <v>194</v>
      </c>
      <c r="I22" s="108" t="s">
        <v>80</v>
      </c>
      <c r="J22" s="108" t="s">
        <v>128</v>
      </c>
      <c r="K22" s="110">
        <v>24.99</v>
      </c>
      <c r="L22" s="107"/>
      <c r="M22" s="155"/>
      <c r="N22" s="116" t="s">
        <v>129</v>
      </c>
      <c r="O22" s="117" t="s">
        <v>200</v>
      </c>
      <c r="P22" s="113"/>
      <c r="Q22" s="113"/>
      <c r="R22" s="113"/>
      <c r="S22" s="144"/>
    </row>
    <row r="23" spans="1:28" ht="15.75" customHeight="1" thickTop="1">
      <c r="A23" s="112" t="s">
        <v>202</v>
      </c>
      <c r="B23" s="9" t="s">
        <v>196</v>
      </c>
      <c r="C23" s="9"/>
      <c r="D23" s="9"/>
      <c r="E23" s="9" t="s">
        <v>60</v>
      </c>
      <c r="F23" s="9" t="s">
        <v>197</v>
      </c>
      <c r="G23" s="9" t="s">
        <v>198</v>
      </c>
      <c r="H23" s="9" t="s">
        <v>199</v>
      </c>
      <c r="I23" s="9" t="s">
        <v>80</v>
      </c>
      <c r="J23" s="9" t="s">
        <v>128</v>
      </c>
      <c r="K23" s="111">
        <v>8.5</v>
      </c>
      <c r="L23" s="6"/>
      <c r="M23" s="155"/>
      <c r="N23" s="114" t="s">
        <v>136</v>
      </c>
      <c r="O23" s="118" t="s">
        <v>201</v>
      </c>
      <c r="P23" s="115"/>
      <c r="Q23" s="115"/>
      <c r="R23" s="115"/>
      <c r="S23" s="145"/>
      <c r="T23" s="6"/>
      <c r="U23" s="6"/>
      <c r="V23" s="6"/>
      <c r="W23" s="6"/>
      <c r="X23" s="6"/>
      <c r="Y23" s="6"/>
      <c r="Z23" s="6"/>
      <c r="AA23" s="6"/>
      <c r="AB23" s="6"/>
    </row>
    <row r="24" spans="1:28" ht="15.75" customHeight="1"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155"/>
      <c r="N24" s="116" t="s">
        <v>142</v>
      </c>
      <c r="O24" s="119" t="s">
        <v>203</v>
      </c>
      <c r="P24" s="61"/>
      <c r="Q24" s="61"/>
      <c r="R24" s="61"/>
      <c r="S24" s="86"/>
      <c r="T24" s="6"/>
      <c r="U24" s="6"/>
      <c r="V24" s="6"/>
      <c r="W24" s="6"/>
      <c r="X24" s="6"/>
      <c r="Y24" s="6"/>
      <c r="Z24" s="6"/>
      <c r="AA24" s="6"/>
      <c r="AB24" s="6"/>
    </row>
    <row r="25" spans="1:28" ht="15.75" customHeight="1" thickBot="1"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156"/>
      <c r="N25" s="128" t="s">
        <v>148</v>
      </c>
      <c r="O25" s="129" t="s">
        <v>204</v>
      </c>
      <c r="P25" s="130"/>
      <c r="Q25" s="130"/>
      <c r="R25" s="130"/>
      <c r="S25" s="146"/>
      <c r="T25" s="6"/>
      <c r="U25" s="6"/>
      <c r="V25" s="6"/>
      <c r="W25" s="6"/>
      <c r="X25" s="6"/>
      <c r="Y25" s="6"/>
      <c r="Z25" s="6"/>
      <c r="AA25" s="6"/>
      <c r="AB25" s="6"/>
    </row>
    <row r="26" spans="1:28" ht="15.75" customHeight="1" thickTop="1" thickBot="1"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151"/>
      <c r="N26" s="150">
        <f>COUNTA(N16:N20)</f>
        <v>5</v>
      </c>
      <c r="O26" s="147">
        <f ca="1">TODAY()-VALUE(RIGHT(B3,10))-3</f>
        <v>33</v>
      </c>
      <c r="P26" s="148">
        <f>SUM(P16:P21)</f>
        <v>287.53999999999996</v>
      </c>
      <c r="Q26" s="147">
        <f>SUM(Q16:Q21)</f>
        <v>20</v>
      </c>
      <c r="R26" s="148">
        <f>P26/Q26</f>
        <v>14.376999999999999</v>
      </c>
      <c r="S26" s="149">
        <f ca="1">P26/O26</f>
        <v>8.7133333333333329</v>
      </c>
      <c r="T26" s="6"/>
      <c r="U26" s="6"/>
      <c r="V26" s="6"/>
      <c r="W26" s="6"/>
      <c r="X26" s="6"/>
      <c r="Y26" s="6"/>
      <c r="Z26" s="6"/>
      <c r="AA26" s="6"/>
      <c r="AB26" s="6"/>
    </row>
    <row r="27" spans="1:28" ht="15.75" customHeight="1" thickTop="1"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</row>
    <row r="28" spans="1:28" ht="15.75" customHeight="1"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</row>
    <row r="29" spans="1:28" ht="15.75" customHeight="1"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</row>
    <row r="30" spans="1:28" ht="15.75" customHeight="1"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</row>
    <row r="31" spans="1:28" ht="15.75" customHeight="1"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</row>
    <row r="32" spans="1:28" ht="15.75" customHeight="1"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</row>
    <row r="33" spans="2:28" ht="15.75" customHeight="1"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</row>
    <row r="34" spans="2:28" ht="15.75" customHeight="1"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</row>
    <row r="35" spans="2:28" ht="15.75" customHeight="1"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</row>
    <row r="36" spans="2:28" ht="15.75" customHeight="1"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</row>
    <row r="37" spans="2:28" ht="15.75" customHeight="1"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</row>
    <row r="38" spans="2:28" ht="15.75" customHeight="1"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</row>
    <row r="39" spans="2:28" ht="15.75" customHeight="1"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</row>
    <row r="40" spans="2:28" ht="15.75" customHeight="1"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</row>
    <row r="41" spans="2:28" ht="15.75" customHeight="1"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</row>
    <row r="42" spans="2:28" ht="15.75" customHeight="1"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</row>
    <row r="43" spans="2:28" ht="15.75" customHeight="1"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</row>
    <row r="44" spans="2:28" ht="15.75" customHeight="1"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</row>
    <row r="45" spans="2:28" ht="15.75" customHeight="1"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</row>
    <row r="46" spans="2:28" ht="15.75" customHeight="1"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</row>
    <row r="47" spans="2:28" ht="15.75" customHeight="1"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</row>
    <row r="48" spans="2:28" ht="15.75" customHeight="1"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</row>
    <row r="49" spans="2:28" ht="15.75" customHeight="1"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</row>
    <row r="50" spans="2:28" ht="15.75" customHeight="1"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</row>
    <row r="51" spans="2:28" ht="15.75" customHeight="1"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</row>
    <row r="52" spans="2:28" ht="15.75" customHeight="1"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</row>
    <row r="53" spans="2:28" ht="15.75" customHeight="1"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</row>
    <row r="54" spans="2:28" ht="15.75" customHeight="1"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</row>
    <row r="55" spans="2:28" ht="15.75" customHeight="1"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</row>
    <row r="56" spans="2:28" ht="15.75" customHeight="1"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</row>
    <row r="57" spans="2:28" ht="15.75" customHeight="1"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</row>
    <row r="58" spans="2:28" ht="15.75" customHeight="1"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</row>
    <row r="59" spans="2:28" ht="15.75" customHeight="1"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</row>
    <row r="60" spans="2:28" ht="15.75" customHeight="1"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</row>
    <row r="61" spans="2:28" ht="15.75" customHeight="1"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</row>
    <row r="62" spans="2:28" ht="15.75" customHeight="1"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</row>
    <row r="63" spans="2:28" ht="15.75" customHeight="1"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</row>
    <row r="64" spans="2:28" ht="15.75" customHeight="1"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</row>
    <row r="65" spans="2:28" ht="15.75" customHeight="1"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</row>
    <row r="66" spans="2:28" ht="15.75" customHeight="1"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</row>
    <row r="67" spans="2:28" ht="15.75" customHeight="1"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</row>
    <row r="68" spans="2:28" ht="15.75" customHeight="1"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</row>
    <row r="69" spans="2:28" ht="15.75" customHeight="1"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</row>
    <row r="70" spans="2:28" ht="15.75" customHeight="1"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</row>
    <row r="71" spans="2:28" ht="15.75" customHeight="1"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</row>
    <row r="72" spans="2:28" ht="15.75" customHeight="1"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</row>
    <row r="73" spans="2:28" ht="15.75" customHeight="1"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</row>
    <row r="74" spans="2:28" ht="15.75" customHeight="1"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</row>
    <row r="75" spans="2:28" ht="15.75" customHeight="1"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</row>
    <row r="76" spans="2:28" ht="15.75" customHeight="1"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</row>
    <row r="77" spans="2:28" ht="15.75" customHeight="1"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</row>
    <row r="78" spans="2:28" ht="15.75" customHeight="1"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</row>
    <row r="79" spans="2:28" ht="15.75" customHeight="1"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</row>
    <row r="80" spans="2:28" ht="15.75" customHeight="1"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</row>
    <row r="81" spans="2:28" ht="15.75" customHeight="1"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</row>
    <row r="82" spans="2:28" ht="15.75" customHeight="1"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</row>
    <row r="83" spans="2:28" ht="15.75" customHeight="1"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</row>
    <row r="84" spans="2:28" ht="15.75" customHeight="1"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</row>
    <row r="85" spans="2:28" ht="15.75" customHeight="1"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</row>
    <row r="86" spans="2:28" ht="15.75" customHeight="1"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</row>
    <row r="87" spans="2:28" ht="15.75" customHeight="1"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</row>
    <row r="88" spans="2:28" ht="15.75" customHeight="1"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</row>
    <row r="89" spans="2:28" ht="15.75" customHeight="1"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</row>
    <row r="90" spans="2:28" ht="15.75" customHeight="1"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</row>
    <row r="91" spans="2:28" ht="15.75" customHeight="1"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</row>
    <row r="92" spans="2:28" ht="15.75" customHeight="1"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</row>
    <row r="93" spans="2:28" ht="15.75" customHeight="1"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</row>
    <row r="94" spans="2:28" ht="15.75" customHeight="1"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</row>
    <row r="95" spans="2:28" ht="15.75" customHeight="1"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</row>
    <row r="96" spans="2:28" ht="15.75" customHeight="1"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</row>
    <row r="97" spans="2:28" ht="15.75" customHeight="1"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</row>
    <row r="98" spans="2:28" ht="15.75" customHeight="1"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</row>
    <row r="99" spans="2:28" ht="15.75" customHeight="1"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</row>
    <row r="100" spans="2:28" ht="15.75" customHeight="1"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</row>
    <row r="101" spans="2:28" ht="15.75" customHeight="1"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</row>
    <row r="102" spans="2:28" ht="15.75" customHeight="1"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</row>
    <row r="103" spans="2:28" ht="15.75" customHeight="1"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</row>
    <row r="104" spans="2:28" ht="15.75" customHeight="1"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</row>
    <row r="105" spans="2:28" ht="15.75" customHeight="1"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</row>
    <row r="106" spans="2:28" ht="15.75" customHeight="1"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</row>
    <row r="107" spans="2:28" ht="15.75" customHeight="1"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</row>
    <row r="108" spans="2:28" ht="15.75" customHeight="1"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</row>
    <row r="109" spans="2:28" ht="15.75" customHeight="1"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</row>
    <row r="110" spans="2:28" ht="15.75" customHeight="1"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</row>
    <row r="111" spans="2:28" ht="15.75" customHeight="1"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</row>
    <row r="112" spans="2:28" ht="15.75" customHeight="1"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</row>
    <row r="113" spans="2:28" ht="15.75" customHeight="1"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</row>
    <row r="114" spans="2:28" ht="15.75" customHeight="1"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</row>
    <row r="115" spans="2:28" ht="15.75" customHeight="1"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</row>
    <row r="116" spans="2:28" ht="15.75" customHeight="1"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</row>
    <row r="117" spans="2:28" ht="15.75" customHeight="1"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</row>
    <row r="118" spans="2:28" ht="15.75" customHeight="1"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</row>
    <row r="119" spans="2:28" ht="15.75" customHeight="1"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</row>
    <row r="120" spans="2:28" ht="15.75" customHeight="1"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</row>
    <row r="121" spans="2:28" ht="15.75" customHeight="1"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</row>
    <row r="122" spans="2:28" ht="15.75" customHeight="1"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</row>
    <row r="123" spans="2:28" ht="15.75" customHeight="1"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</row>
    <row r="124" spans="2:28" ht="15.75" customHeight="1"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spans="2:28" ht="15.75" customHeight="1"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 spans="2:28" ht="15.75" customHeight="1"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 spans="2:28" ht="15.75" customHeight="1"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 spans="2:28" ht="15.75" customHeight="1"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 spans="2:28" ht="15.75" customHeight="1"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 spans="2:28" ht="15.75" customHeight="1"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 spans="2:28" ht="15.75" customHeight="1"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 spans="2:28" ht="15.75" customHeight="1"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 spans="2:28" ht="15.75" customHeight="1"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 spans="2:28" ht="15.75" customHeight="1"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 spans="2:28" ht="15.75" customHeight="1"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 spans="2:28" ht="15.75" customHeight="1"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 spans="2:28" ht="15.75" customHeight="1"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 spans="2:28" ht="15.75" customHeight="1"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 spans="2:28" ht="15.75" customHeight="1"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 spans="2:28" ht="15.75" customHeight="1"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  <row r="141" spans="2:28" ht="15.75" customHeight="1"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</row>
    <row r="142" spans="2:28" ht="15.75" customHeight="1"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</row>
    <row r="143" spans="2:28" ht="15.75" customHeight="1"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</row>
    <row r="144" spans="2:28" ht="15.75" customHeight="1"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</row>
    <row r="145" spans="2:28" ht="15.75" customHeight="1"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</row>
    <row r="146" spans="2:28" ht="15.75" customHeight="1"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</row>
    <row r="147" spans="2:28" ht="15.75" customHeight="1"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</row>
    <row r="148" spans="2:28" ht="15.75" customHeight="1"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</row>
    <row r="149" spans="2:28" ht="15.75" customHeight="1"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</row>
    <row r="150" spans="2:28" ht="15.75" customHeight="1"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</row>
    <row r="151" spans="2:28" ht="15.75" customHeight="1"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</row>
    <row r="152" spans="2:28" ht="15.75" customHeight="1"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</row>
    <row r="153" spans="2:28" ht="15.75" customHeight="1"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</row>
    <row r="154" spans="2:28" ht="15.75" customHeight="1"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</row>
    <row r="155" spans="2:28" ht="15.75" customHeight="1"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</row>
    <row r="156" spans="2:28" ht="15.75" customHeight="1"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</row>
    <row r="157" spans="2:28" ht="15.75" customHeight="1"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</row>
    <row r="158" spans="2:28" ht="15.75" customHeight="1"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</row>
    <row r="159" spans="2:28" ht="15.75" customHeight="1"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</row>
    <row r="160" spans="2:28" ht="15.75" customHeight="1"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</row>
    <row r="161" spans="2:28" ht="15.75" customHeight="1"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</row>
    <row r="162" spans="2:28" ht="15.75" customHeight="1"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</row>
    <row r="163" spans="2:28" ht="15.75" customHeight="1"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</row>
    <row r="164" spans="2:28" ht="15.75" customHeight="1"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</row>
    <row r="165" spans="2:28" ht="15.75" customHeight="1"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</row>
    <row r="166" spans="2:28" ht="15.75" customHeight="1"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</row>
    <row r="167" spans="2:28" ht="15.75" customHeight="1"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</row>
    <row r="168" spans="2:28" ht="15.75" customHeight="1"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</row>
    <row r="169" spans="2:28" ht="15.75" customHeight="1"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</row>
    <row r="170" spans="2:28" ht="15.75" customHeight="1"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</row>
    <row r="171" spans="2:28" ht="15.75" customHeight="1"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</row>
    <row r="172" spans="2:28" ht="15.75" customHeight="1"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</row>
    <row r="173" spans="2:28" ht="15.75" customHeight="1"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</row>
    <row r="174" spans="2:28" ht="15.75" customHeight="1"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</row>
    <row r="175" spans="2:28" ht="15.75" customHeight="1"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</row>
    <row r="176" spans="2:28" ht="15.75" customHeight="1"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</row>
    <row r="177" spans="2:28" ht="15.75" customHeight="1"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</row>
    <row r="178" spans="2:28" ht="15.75" customHeight="1"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</row>
    <row r="179" spans="2:28" ht="15.75" customHeight="1"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</row>
    <row r="180" spans="2:28" ht="15.75" customHeight="1"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</row>
    <row r="181" spans="2:28" ht="15.75" customHeight="1"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</row>
    <row r="182" spans="2:28" ht="15.75" customHeight="1"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</row>
    <row r="183" spans="2:28" ht="15.75" customHeight="1"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</row>
    <row r="184" spans="2:28" ht="15.75" customHeight="1"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</row>
    <row r="185" spans="2:28" ht="15.75" customHeight="1"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</row>
    <row r="186" spans="2:28" ht="15.75" customHeight="1"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</row>
    <row r="187" spans="2:28" ht="15.75" customHeight="1"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</row>
    <row r="188" spans="2:28" ht="15.75" customHeight="1"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</row>
    <row r="189" spans="2:28" ht="15.75" customHeight="1"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</row>
    <row r="190" spans="2:28" ht="15.75" customHeight="1"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</row>
    <row r="191" spans="2:28" ht="15.75" customHeight="1"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</row>
    <row r="192" spans="2:28" ht="15.75" customHeight="1"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</row>
    <row r="193" spans="2:28" ht="15.75" customHeight="1"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</row>
    <row r="194" spans="2:28" ht="15.75" customHeight="1"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</row>
    <row r="195" spans="2:28" ht="15.75" customHeight="1"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</row>
    <row r="196" spans="2:28" ht="15.75" customHeight="1"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</row>
    <row r="197" spans="2:28" ht="15.75" customHeight="1"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</row>
    <row r="198" spans="2:28" ht="15.75" customHeight="1"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</row>
    <row r="199" spans="2:28" ht="15.75" customHeight="1"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</row>
    <row r="200" spans="2:28" ht="15.75" customHeight="1"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</row>
    <row r="201" spans="2:28" ht="15.75" customHeight="1"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</row>
    <row r="202" spans="2:28" ht="15.75" customHeight="1"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</row>
    <row r="203" spans="2:28" ht="15.75" customHeight="1"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</row>
    <row r="204" spans="2:28" ht="15.75" customHeight="1"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</row>
    <row r="205" spans="2:28" ht="15.75" customHeight="1"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</row>
    <row r="206" spans="2:28" ht="15.75" customHeight="1"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</row>
    <row r="207" spans="2:28" ht="15.75" customHeight="1"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</row>
    <row r="208" spans="2:28" ht="15.75" customHeight="1"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</row>
    <row r="209" spans="2:28" ht="15.75" customHeight="1"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</row>
    <row r="210" spans="2:28" ht="15.75" customHeight="1"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</row>
    <row r="211" spans="2:28" ht="15.75" customHeight="1"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</row>
    <row r="212" spans="2:28" ht="15.75" customHeight="1"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</row>
    <row r="213" spans="2:28" ht="15.75" customHeight="1"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</row>
    <row r="214" spans="2:28" ht="15.75" customHeight="1"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</row>
    <row r="215" spans="2:28" ht="15.75" customHeight="1"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</row>
    <row r="216" spans="2:28" ht="15.75" customHeight="1"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</row>
    <row r="217" spans="2:28" ht="15.75" customHeight="1"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</row>
    <row r="218" spans="2:28" ht="15.75" customHeight="1"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</row>
    <row r="219" spans="2:28" ht="15.75" customHeight="1"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</row>
    <row r="220" spans="2:28" ht="15.75" customHeight="1"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</row>
    <row r="221" spans="2:28" ht="15.75" customHeight="1"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</row>
    <row r="222" spans="2:28" ht="15.75" customHeight="1"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</row>
    <row r="223" spans="2:28" ht="15.75" customHeight="1"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</row>
    <row r="224" spans="2:28" ht="15.75" customHeight="1"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</row>
    <row r="225" spans="2:28" ht="15.75" customHeight="1"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</row>
    <row r="226" spans="2:28" ht="15.75" customHeight="1"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</row>
    <row r="227" spans="2:28" ht="15.75" customHeight="1"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</row>
    <row r="228" spans="2:28" ht="15.75" customHeight="1"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</row>
    <row r="229" spans="2:28" ht="15.75" customHeight="1"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</row>
    <row r="230" spans="2:28" ht="15.75" customHeight="1"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</row>
    <row r="231" spans="2:28" ht="15.75" customHeight="1"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</row>
    <row r="232" spans="2:28" ht="15.75" customHeight="1"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</row>
    <row r="233" spans="2:28" ht="15.75" customHeight="1"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</row>
    <row r="234" spans="2:28" ht="15.75" customHeight="1"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</row>
    <row r="235" spans="2:28" ht="15.75" customHeight="1"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</row>
    <row r="236" spans="2:28" ht="15.75" customHeight="1"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</row>
    <row r="237" spans="2:28" ht="15.75" customHeight="1"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</row>
    <row r="238" spans="2:28" ht="15.75" customHeight="1"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</row>
    <row r="239" spans="2:28" ht="15.75" customHeight="1"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</row>
    <row r="240" spans="2:28" ht="15.75" customHeight="1"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</row>
    <row r="241" spans="2:28" ht="15.75" customHeight="1"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</row>
    <row r="242" spans="2:28" ht="15.75" customHeight="1"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</row>
    <row r="243" spans="2:28" ht="15.75" customHeight="1"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</row>
    <row r="244" spans="2:28" ht="15.75" customHeight="1"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</row>
    <row r="245" spans="2:28" ht="15.75" customHeight="1"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</row>
    <row r="246" spans="2:28" ht="15.75" customHeight="1"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</row>
    <row r="247" spans="2:28" ht="15.75" customHeight="1"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</row>
    <row r="248" spans="2:28" ht="15.75" customHeight="1"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</row>
    <row r="249" spans="2:28" ht="15.75" customHeight="1"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</row>
    <row r="250" spans="2:28" ht="15.75" customHeight="1"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</row>
    <row r="251" spans="2:28" ht="15.75" customHeight="1"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</row>
    <row r="252" spans="2:28" ht="15.75" customHeight="1"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</row>
    <row r="253" spans="2:28" ht="15.75" customHeight="1"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</row>
    <row r="254" spans="2:28" ht="15.75" customHeight="1"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</row>
    <row r="255" spans="2:28" ht="15.75" customHeight="1"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</row>
    <row r="256" spans="2:28" ht="15.75" customHeight="1"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</row>
    <row r="257" spans="2:28" ht="15.75" customHeight="1"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</row>
    <row r="258" spans="2:28" ht="15.75" customHeight="1"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</row>
    <row r="259" spans="2:28" ht="15.75" customHeight="1"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</row>
    <row r="260" spans="2:28" ht="15.75" customHeight="1"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</row>
    <row r="261" spans="2:28" ht="15.75" customHeight="1"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</row>
    <row r="262" spans="2:28" ht="15.75" customHeight="1"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</row>
    <row r="263" spans="2:28" ht="15.75" customHeight="1"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</row>
    <row r="264" spans="2:28" ht="15.75" customHeight="1"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</row>
    <row r="265" spans="2:28" ht="15.75" customHeight="1"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</row>
    <row r="266" spans="2:28" ht="15.75" customHeight="1"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</row>
    <row r="267" spans="2:28" ht="15.75" customHeight="1"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</row>
    <row r="268" spans="2:28" ht="15.75" customHeight="1"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</row>
    <row r="269" spans="2:28" ht="15.75" customHeight="1"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</row>
    <row r="270" spans="2:28" ht="15.75" customHeight="1"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</row>
    <row r="271" spans="2:28" ht="15.75" customHeight="1"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</row>
    <row r="272" spans="2:28" ht="15.75" customHeight="1"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</row>
    <row r="273" spans="2:28" ht="15.75" customHeight="1"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</row>
    <row r="274" spans="2:28" ht="15.75" customHeight="1"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</row>
    <row r="275" spans="2:28" ht="15.75" customHeight="1"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</row>
    <row r="276" spans="2:28" ht="15.75" customHeight="1"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</row>
    <row r="277" spans="2:28" ht="15.75" customHeight="1"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</row>
    <row r="278" spans="2:28" ht="15.75" customHeight="1"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</row>
    <row r="279" spans="2:28" ht="15.75" customHeight="1"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</row>
    <row r="280" spans="2:28" ht="15.75" customHeight="1"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</row>
    <row r="281" spans="2:28" ht="15.75" customHeight="1"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</row>
    <row r="282" spans="2:28" ht="15.75" customHeight="1"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</row>
    <row r="283" spans="2:28" ht="15.75" customHeight="1"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</row>
    <row r="284" spans="2:28" ht="15.75" customHeight="1"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</row>
    <row r="285" spans="2:28" ht="15.75" customHeight="1"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</row>
    <row r="286" spans="2:28" ht="15.75" customHeight="1"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</row>
    <row r="287" spans="2:28" ht="15.75" customHeight="1"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</row>
    <row r="288" spans="2:28" ht="15.75" customHeight="1"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</row>
    <row r="289" spans="2:28" ht="15.75" customHeight="1"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</row>
    <row r="290" spans="2:28" ht="15.75" customHeight="1"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</row>
    <row r="291" spans="2:28" ht="15.75" customHeight="1"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</row>
    <row r="292" spans="2:28" ht="15.75" customHeight="1"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</row>
    <row r="293" spans="2:28" ht="15.75" customHeight="1"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</row>
    <row r="294" spans="2:28" ht="15.75" customHeight="1"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</row>
    <row r="295" spans="2:28" ht="15.75" customHeight="1"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</row>
    <row r="296" spans="2:28" ht="15.75" customHeight="1"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</row>
    <row r="297" spans="2:28" ht="15.75" customHeight="1"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</row>
    <row r="298" spans="2:28" ht="15.75" customHeight="1"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</row>
    <row r="299" spans="2:28" ht="15.75" customHeight="1"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</row>
    <row r="300" spans="2:28" ht="15.75" customHeight="1"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</row>
    <row r="301" spans="2:28" ht="15.75" customHeight="1"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</row>
    <row r="302" spans="2:28" ht="15.75" customHeight="1"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</row>
    <row r="303" spans="2:28" ht="15.75" customHeight="1"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</row>
    <row r="304" spans="2:28" ht="15.75" customHeight="1"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</row>
    <row r="305" spans="2:28" ht="15.75" customHeight="1"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</row>
    <row r="306" spans="2:28" ht="15.75" customHeight="1"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</row>
    <row r="307" spans="2:28" ht="15.75" customHeight="1"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</row>
    <row r="308" spans="2:28" ht="15.75" customHeight="1"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</row>
    <row r="309" spans="2:28" ht="15.75" customHeight="1"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</row>
    <row r="310" spans="2:28" ht="15.75" customHeight="1"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</row>
    <row r="311" spans="2:28" ht="15.75" customHeight="1"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</row>
    <row r="312" spans="2:28" ht="15.75" customHeight="1"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</row>
    <row r="313" spans="2:28" ht="15.75" customHeight="1"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</row>
    <row r="314" spans="2:28" ht="15.75" customHeight="1"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</row>
    <row r="315" spans="2:28" ht="15.75" customHeight="1"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</row>
    <row r="316" spans="2:28" ht="15.75" customHeight="1"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</row>
    <row r="317" spans="2:28" ht="15.75" customHeight="1"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</row>
    <row r="318" spans="2:28" ht="15.75" customHeight="1"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</row>
    <row r="319" spans="2:28" ht="15.75" customHeight="1"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</row>
    <row r="320" spans="2:28" ht="15.75" customHeight="1"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</row>
    <row r="321" spans="2:28" ht="15.75" customHeight="1"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</row>
    <row r="322" spans="2:28" ht="15.75" customHeight="1"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</row>
    <row r="323" spans="2:28" ht="15.75" customHeight="1"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</row>
    <row r="324" spans="2:28" ht="15.75" customHeight="1"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</row>
    <row r="325" spans="2:28" ht="15.75" customHeight="1"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</row>
    <row r="326" spans="2:28" ht="15.75" customHeight="1"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</row>
    <row r="327" spans="2:28" ht="15.75" customHeight="1"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</row>
    <row r="328" spans="2:28" ht="15.75" customHeight="1"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</row>
    <row r="329" spans="2:28" ht="15.75" customHeight="1"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</row>
    <row r="330" spans="2:28" ht="15.75" customHeight="1"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</row>
    <row r="331" spans="2:28" ht="15.75" customHeight="1"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</row>
    <row r="332" spans="2:28" ht="15.75" customHeight="1"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</row>
    <row r="333" spans="2:28" ht="15.75" customHeight="1"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</row>
    <row r="334" spans="2:28" ht="15.75" customHeight="1"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</row>
    <row r="335" spans="2:28" ht="15.75" customHeight="1"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</row>
    <row r="336" spans="2:28" ht="15.75" customHeight="1"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</row>
    <row r="337" spans="2:28" ht="15.75" customHeight="1"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</row>
    <row r="338" spans="2:28" ht="15.75" customHeight="1"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</row>
    <row r="339" spans="2:28" ht="15.75" customHeight="1"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</row>
    <row r="340" spans="2:28" ht="15.75" customHeight="1"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</row>
    <row r="341" spans="2:28" ht="15.75" customHeight="1"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</row>
    <row r="342" spans="2:28" ht="15.75" customHeight="1"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</row>
    <row r="343" spans="2:28" ht="15.75" customHeight="1"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</row>
    <row r="344" spans="2:28" ht="15.75" customHeight="1"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</row>
    <row r="345" spans="2:28" ht="15.75" customHeight="1"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</row>
    <row r="346" spans="2:28" ht="15.75" customHeight="1"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</row>
    <row r="347" spans="2:28" ht="15.75" customHeight="1"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</row>
    <row r="348" spans="2:28" ht="15.75" customHeight="1"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</row>
    <row r="349" spans="2:28" ht="15.75" customHeight="1"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</row>
    <row r="350" spans="2:28" ht="15.75" customHeight="1"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</row>
    <row r="351" spans="2:28" ht="15.75" customHeight="1"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</row>
    <row r="352" spans="2:28" ht="15.75" customHeight="1"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</row>
    <row r="353" spans="2:28" ht="15.75" customHeight="1"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</row>
    <row r="354" spans="2:28" ht="15.75" customHeight="1"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</row>
    <row r="355" spans="2:28" ht="15.75" customHeight="1"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</row>
    <row r="356" spans="2:28" ht="15.75" customHeight="1"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</row>
    <row r="357" spans="2:28" ht="15.75" customHeight="1"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</row>
    <row r="358" spans="2:28" ht="15.75" customHeight="1"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</row>
    <row r="359" spans="2:28" ht="15.75" customHeight="1"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</row>
    <row r="360" spans="2:28" ht="15.75" customHeight="1"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</row>
    <row r="361" spans="2:28" ht="15.75" customHeight="1"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</row>
    <row r="362" spans="2:28" ht="15.75" customHeight="1"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</row>
    <row r="363" spans="2:28" ht="15.75" customHeight="1"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</row>
    <row r="364" spans="2:28" ht="15.75" customHeight="1"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</row>
    <row r="365" spans="2:28" ht="15.75" customHeight="1"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</row>
    <row r="366" spans="2:28" ht="15.75" customHeight="1"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</row>
    <row r="367" spans="2:28" ht="15.75" customHeight="1"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</row>
    <row r="368" spans="2:28" ht="15.75" customHeight="1"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</row>
    <row r="369" spans="2:28" ht="15.75" customHeight="1"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</row>
    <row r="370" spans="2:28" ht="15.75" customHeight="1"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</row>
    <row r="371" spans="2:28" ht="15.75" customHeight="1"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</row>
    <row r="372" spans="2:28" ht="15.75" customHeight="1"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</row>
    <row r="373" spans="2:28" ht="15.75" customHeight="1"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</row>
    <row r="374" spans="2:28" ht="15.75" customHeight="1"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</row>
    <row r="375" spans="2:28" ht="15.75" customHeight="1"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</row>
    <row r="376" spans="2:28" ht="15.75" customHeight="1"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</row>
    <row r="377" spans="2:28" ht="15.75" customHeight="1"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</row>
    <row r="378" spans="2:28" ht="15.75" customHeight="1"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</row>
    <row r="379" spans="2:28" ht="15.75" customHeight="1"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</row>
    <row r="380" spans="2:28" ht="15.75" customHeight="1"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</row>
    <row r="381" spans="2:28" ht="15.75" customHeight="1"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</row>
    <row r="382" spans="2:28" ht="15.75" customHeight="1"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</row>
    <row r="383" spans="2:28" ht="15.75" customHeight="1"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</row>
    <row r="384" spans="2:28" ht="15.75" customHeight="1"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</row>
    <row r="385" spans="2:28" ht="15.75" customHeight="1"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</row>
    <row r="386" spans="2:28" ht="15.75" customHeight="1"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</row>
    <row r="387" spans="2:28" ht="15.75" customHeight="1"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</row>
    <row r="388" spans="2:28" ht="15.75" customHeight="1"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</row>
    <row r="389" spans="2:28" ht="15.75" customHeight="1"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</row>
    <row r="390" spans="2:28" ht="15.75" customHeight="1"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</row>
    <row r="391" spans="2:28" ht="15.75" customHeight="1"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</row>
    <row r="392" spans="2:28" ht="15.75" customHeight="1"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</row>
    <row r="393" spans="2:28" ht="15.75" customHeight="1"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</row>
    <row r="394" spans="2:28" ht="15.75" customHeight="1"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</row>
    <row r="395" spans="2:28" ht="15.75" customHeight="1"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</row>
    <row r="396" spans="2:28" ht="15.75" customHeight="1"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</row>
    <row r="397" spans="2:28" ht="15.75" customHeight="1"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</row>
    <row r="398" spans="2:28" ht="15.75" customHeight="1"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</row>
    <row r="399" spans="2:28" ht="15.75" customHeight="1"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</row>
    <row r="400" spans="2:28" ht="15.75" customHeight="1"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</row>
    <row r="401" spans="2:28" ht="15.75" customHeight="1"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</row>
    <row r="402" spans="2:28" ht="15.75" customHeight="1"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</row>
    <row r="403" spans="2:28" ht="15.75" customHeight="1"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</row>
    <row r="404" spans="2:28" ht="15.75" customHeight="1"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</row>
    <row r="405" spans="2:28" ht="15.75" customHeight="1"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</row>
    <row r="406" spans="2:28" ht="15.75" customHeight="1"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</row>
    <row r="407" spans="2:28" ht="15.75" customHeight="1"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</row>
    <row r="408" spans="2:28" ht="15.75" customHeight="1"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</row>
    <row r="409" spans="2:28" ht="15.75" customHeight="1"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</row>
    <row r="410" spans="2:28" ht="15.75" customHeight="1"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</row>
    <row r="411" spans="2:28" ht="15.75" customHeight="1"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</row>
    <row r="412" spans="2:28" ht="15.75" customHeight="1"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</row>
    <row r="413" spans="2:28" ht="15.75" customHeight="1"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</row>
    <row r="414" spans="2:28" ht="15.75" customHeight="1"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</row>
    <row r="415" spans="2:28" ht="15.75" customHeight="1"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</row>
    <row r="416" spans="2:28" ht="15.75" customHeight="1"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</row>
    <row r="417" spans="2:28" ht="15.75" customHeight="1"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</row>
    <row r="418" spans="2:28" ht="15.75" customHeight="1"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</row>
    <row r="419" spans="2:28" ht="15.75" customHeight="1"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</row>
    <row r="420" spans="2:28" ht="15.75" customHeight="1"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</row>
    <row r="421" spans="2:28" ht="15.75" customHeight="1"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</row>
    <row r="422" spans="2:28" ht="15.75" customHeight="1"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</row>
    <row r="423" spans="2:28" ht="15.75" customHeight="1"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</row>
    <row r="424" spans="2:28" ht="15.75" customHeight="1"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</row>
    <row r="425" spans="2:28" ht="15.75" customHeight="1"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</row>
    <row r="426" spans="2:28" ht="15.75" customHeight="1"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</row>
    <row r="427" spans="2:28" ht="15.75" customHeight="1"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</row>
    <row r="428" spans="2:28" ht="15.75" customHeight="1"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</row>
    <row r="429" spans="2:28" ht="15.75" customHeight="1"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</row>
    <row r="430" spans="2:28" ht="15.75" customHeight="1"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</row>
    <row r="431" spans="2:28" ht="15.75" customHeight="1"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</row>
    <row r="432" spans="2:28" ht="15.75" customHeight="1"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</row>
    <row r="433" spans="2:28" ht="15.75" customHeight="1"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</row>
    <row r="434" spans="2:28" ht="15.75" customHeight="1"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</row>
    <row r="435" spans="2:28" ht="15.75" customHeight="1"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</row>
    <row r="436" spans="2:28" ht="15.75" customHeight="1"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</row>
    <row r="437" spans="2:28" ht="15.75" customHeight="1"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</row>
    <row r="438" spans="2:28" ht="15.75" customHeight="1"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</row>
    <row r="439" spans="2:28" ht="15.75" customHeight="1"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</row>
    <row r="440" spans="2:28" ht="15.75" customHeight="1"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</row>
    <row r="441" spans="2:28" ht="15.75" customHeight="1"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</row>
    <row r="442" spans="2:28" ht="15.75" customHeight="1"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</row>
    <row r="443" spans="2:28" ht="15.75" customHeight="1"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</row>
    <row r="444" spans="2:28" ht="15.75" customHeight="1"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</row>
    <row r="445" spans="2:28" ht="15.75" customHeight="1"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</row>
    <row r="446" spans="2:28" ht="15.75" customHeight="1"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</row>
    <row r="447" spans="2:28" ht="15.75" customHeight="1"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</row>
    <row r="448" spans="2:28" ht="15.75" customHeight="1"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</row>
    <row r="449" spans="2:28" ht="15.75" customHeight="1"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</row>
    <row r="450" spans="2:28" ht="15.75" customHeight="1"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</row>
    <row r="451" spans="2:28" ht="15.75" customHeight="1"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</row>
    <row r="452" spans="2:28" ht="15.75" customHeight="1"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</row>
    <row r="453" spans="2:28" ht="15.75" customHeight="1"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</row>
    <row r="454" spans="2:28" ht="15.75" customHeight="1"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</row>
    <row r="455" spans="2:28" ht="15.75" customHeight="1"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</row>
    <row r="456" spans="2:28" ht="15.75" customHeight="1"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</row>
    <row r="457" spans="2:28" ht="15.75" customHeight="1"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</row>
    <row r="458" spans="2:28" ht="15.75" customHeight="1"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</row>
    <row r="459" spans="2:28" ht="15.75" customHeight="1"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</row>
    <row r="460" spans="2:28" ht="15.75" customHeight="1"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</row>
    <row r="461" spans="2:28" ht="15.75" customHeight="1"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</row>
    <row r="462" spans="2:28" ht="15.75" customHeight="1"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</row>
    <row r="463" spans="2:28" ht="15.75" customHeight="1"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</row>
    <row r="464" spans="2:28" ht="15.75" customHeight="1"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</row>
    <row r="465" spans="2:28" ht="15.75" customHeight="1"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</row>
    <row r="466" spans="2:28" ht="15.75" customHeight="1"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</row>
    <row r="467" spans="2:28" ht="15.75" customHeight="1"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</row>
    <row r="468" spans="2:28" ht="15.75" customHeight="1"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</row>
    <row r="469" spans="2:28" ht="15.75" customHeight="1"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</row>
    <row r="470" spans="2:28" ht="15.75" customHeight="1"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</row>
    <row r="471" spans="2:28" ht="15.75" customHeight="1"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</row>
    <row r="472" spans="2:28" ht="15.75" customHeight="1"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</row>
    <row r="473" spans="2:28" ht="15.75" customHeight="1"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</row>
    <row r="474" spans="2:28" ht="15.75" customHeight="1"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</row>
    <row r="475" spans="2:28" ht="15.75" customHeight="1"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</row>
    <row r="476" spans="2:28" ht="15.75" customHeight="1"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</row>
    <row r="477" spans="2:28" ht="15.75" customHeight="1"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</row>
    <row r="478" spans="2:28" ht="15.75" customHeight="1"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</row>
    <row r="479" spans="2:28" ht="15.75" customHeight="1"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</row>
    <row r="480" spans="2:28" ht="15.75" customHeight="1"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</row>
    <row r="481" spans="2:28" ht="15.75" customHeight="1"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</row>
    <row r="482" spans="2:28" ht="15.75" customHeight="1"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</row>
    <row r="483" spans="2:28" ht="15.75" customHeight="1"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</row>
    <row r="484" spans="2:28" ht="15.75" customHeight="1"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</row>
    <row r="485" spans="2:28" ht="15.75" customHeight="1"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</row>
    <row r="486" spans="2:28" ht="15.75" customHeight="1"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</row>
    <row r="487" spans="2:28" ht="15.75" customHeight="1"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</row>
    <row r="488" spans="2:28" ht="15.75" customHeight="1"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</row>
    <row r="489" spans="2:28" ht="15.75" customHeight="1"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</row>
    <row r="490" spans="2:28" ht="15.75" customHeight="1"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</row>
    <row r="491" spans="2:28" ht="15.75" customHeight="1"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</row>
    <row r="492" spans="2:28" ht="15.75" customHeight="1"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</row>
    <row r="493" spans="2:28" ht="15.75" customHeight="1"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</row>
    <row r="494" spans="2:28" ht="15.75" customHeight="1"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</row>
    <row r="495" spans="2:28" ht="15.75" customHeight="1"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</row>
    <row r="496" spans="2:28" ht="15.75" customHeight="1"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</row>
    <row r="497" spans="2:28" ht="15.75" customHeight="1"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</row>
    <row r="498" spans="2:28" ht="15.75" customHeight="1"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</row>
    <row r="499" spans="2:28" ht="15.75" customHeight="1"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</row>
    <row r="500" spans="2:28" ht="15.75" customHeight="1"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</row>
    <row r="501" spans="2:28" ht="15.75" customHeight="1"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</row>
    <row r="502" spans="2:28" ht="15.75" customHeight="1"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</row>
    <row r="503" spans="2:28" ht="15.75" customHeight="1"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</row>
    <row r="504" spans="2:28" ht="15.75" customHeight="1"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</row>
    <row r="505" spans="2:28" ht="15.75" customHeight="1"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</row>
    <row r="506" spans="2:28" ht="15.75" customHeight="1"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</row>
    <row r="507" spans="2:28" ht="15.75" customHeight="1"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</row>
    <row r="508" spans="2:28" ht="15.75" customHeight="1"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</row>
    <row r="509" spans="2:28" ht="15.75" customHeight="1"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</row>
    <row r="510" spans="2:28" ht="15.75" customHeight="1"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</row>
    <row r="511" spans="2:28" ht="15.75" customHeight="1"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</row>
    <row r="512" spans="2:28" ht="15.75" customHeight="1"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</row>
    <row r="513" spans="2:28" ht="15.75" customHeight="1"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</row>
    <row r="514" spans="2:28" ht="15.75" customHeight="1"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</row>
    <row r="515" spans="2:28" ht="15.75" customHeight="1"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</row>
    <row r="516" spans="2:28" ht="15.75" customHeight="1"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</row>
    <row r="517" spans="2:28" ht="15.75" customHeight="1"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</row>
    <row r="518" spans="2:28" ht="15.75" customHeight="1"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</row>
    <row r="519" spans="2:28" ht="15.75" customHeight="1"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</row>
    <row r="520" spans="2:28" ht="15.75" customHeight="1"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</row>
    <row r="521" spans="2:28" ht="15.75" customHeight="1"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</row>
    <row r="522" spans="2:28" ht="15.75" customHeight="1"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</row>
    <row r="523" spans="2:28" ht="15.75" customHeight="1"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</row>
    <row r="524" spans="2:28" ht="15.75" customHeight="1"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</row>
    <row r="525" spans="2:28" ht="15.75" customHeight="1"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</row>
    <row r="526" spans="2:28" ht="15.75" customHeight="1"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</row>
    <row r="527" spans="2:28" ht="15.75" customHeight="1"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</row>
    <row r="528" spans="2:28" ht="15.75" customHeight="1"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</row>
    <row r="529" spans="2:28" ht="15.75" customHeight="1"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</row>
    <row r="530" spans="2:28" ht="15.75" customHeight="1"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</row>
    <row r="531" spans="2:28" ht="15.75" customHeight="1"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</row>
    <row r="532" spans="2:28" ht="15.75" customHeight="1"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</row>
    <row r="533" spans="2:28" ht="15.75" customHeight="1"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</row>
    <row r="534" spans="2:28" ht="15.75" customHeight="1"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</row>
    <row r="535" spans="2:28" ht="15.75" customHeight="1"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</row>
    <row r="536" spans="2:28" ht="15.75" customHeight="1"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</row>
    <row r="537" spans="2:28" ht="15.75" customHeight="1"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</row>
    <row r="538" spans="2:28" ht="15.75" customHeight="1"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</row>
    <row r="539" spans="2:28" ht="15.75" customHeight="1"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</row>
    <row r="540" spans="2:28" ht="15.75" customHeight="1"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</row>
    <row r="541" spans="2:28" ht="15.75" customHeight="1"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</row>
    <row r="542" spans="2:28" ht="15.75" customHeight="1"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</row>
    <row r="543" spans="2:28" ht="15.75" customHeight="1"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</row>
    <row r="544" spans="2:28" ht="15.75" customHeight="1"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</row>
    <row r="545" spans="2:28" ht="15.75" customHeight="1"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</row>
    <row r="546" spans="2:28" ht="15.75" customHeight="1"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</row>
    <row r="547" spans="2:28" ht="15.75" customHeight="1"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</row>
    <row r="548" spans="2:28" ht="15.75" customHeight="1"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</row>
    <row r="549" spans="2:28" ht="15.75" customHeight="1"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</row>
    <row r="550" spans="2:28" ht="15.75" customHeight="1"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</row>
    <row r="551" spans="2:28" ht="15.75" customHeight="1"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</row>
    <row r="552" spans="2:28" ht="15.75" customHeight="1"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</row>
    <row r="553" spans="2:28" ht="15.75" customHeight="1"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</row>
    <row r="554" spans="2:28" ht="15.75" customHeight="1"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</row>
    <row r="555" spans="2:28" ht="15.75" customHeight="1"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</row>
    <row r="556" spans="2:28" ht="15.75" customHeight="1"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</row>
    <row r="557" spans="2:28" ht="15.75" customHeight="1"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</row>
    <row r="558" spans="2:28" ht="15.75" customHeight="1"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</row>
    <row r="559" spans="2:28" ht="15.75" customHeight="1"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</row>
    <row r="560" spans="2:28" ht="15.75" customHeight="1"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</row>
    <row r="561" spans="2:28" ht="15.75" customHeight="1"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</row>
    <row r="562" spans="2:28" ht="15.75" customHeight="1"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</row>
    <row r="563" spans="2:28" ht="15.75" customHeight="1"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</row>
    <row r="564" spans="2:28" ht="15.75" customHeight="1"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</row>
    <row r="565" spans="2:28" ht="15.75" customHeight="1"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</row>
    <row r="566" spans="2:28" ht="15.75" customHeight="1"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</row>
    <row r="567" spans="2:28" ht="15.75" customHeight="1"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</row>
    <row r="568" spans="2:28" ht="15.75" customHeight="1"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</row>
    <row r="569" spans="2:28" ht="15.75" customHeight="1"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</row>
    <row r="570" spans="2:28" ht="15.75" customHeight="1"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</row>
    <row r="571" spans="2:28" ht="15.75" customHeight="1"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</row>
    <row r="572" spans="2:28" ht="15.75" customHeight="1"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</row>
    <row r="573" spans="2:28" ht="15.75" customHeight="1"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</row>
    <row r="574" spans="2:28" ht="15.75" customHeight="1"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</row>
    <row r="575" spans="2:28" ht="15.75" customHeight="1"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</row>
    <row r="576" spans="2:28" ht="15.75" customHeight="1"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</row>
    <row r="577" spans="2:28" ht="15.75" customHeight="1"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</row>
    <row r="578" spans="2:28" ht="15.75" customHeight="1"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</row>
    <row r="579" spans="2:28" ht="15.75" customHeight="1"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</row>
    <row r="580" spans="2:28" ht="15.75" customHeight="1"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</row>
    <row r="581" spans="2:28" ht="15.75" customHeight="1"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</row>
    <row r="582" spans="2:28" ht="15.75" customHeight="1"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</row>
    <row r="583" spans="2:28" ht="15.75" customHeight="1"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</row>
    <row r="584" spans="2:28" ht="15.75" customHeight="1"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</row>
    <row r="585" spans="2:28" ht="15.75" customHeight="1"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</row>
    <row r="586" spans="2:28" ht="15.75" customHeight="1"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</row>
    <row r="587" spans="2:28" ht="15.75" customHeight="1"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</row>
    <row r="588" spans="2:28" ht="15.75" customHeight="1"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</row>
    <row r="589" spans="2:28" ht="15.75" customHeight="1"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</row>
    <row r="590" spans="2:28" ht="15.75" customHeight="1"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</row>
    <row r="591" spans="2:28" ht="15.75" customHeight="1"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</row>
    <row r="592" spans="2:28" ht="15.75" customHeight="1"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</row>
    <row r="593" spans="2:28" ht="15.75" customHeight="1"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</row>
    <row r="594" spans="2:28" ht="15.75" customHeight="1"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</row>
    <row r="595" spans="2:28" ht="15.75" customHeight="1"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</row>
    <row r="596" spans="2:28" ht="15.75" customHeight="1"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</row>
    <row r="597" spans="2:28" ht="15.75" customHeight="1"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</row>
    <row r="598" spans="2:28" ht="15.75" customHeight="1"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</row>
    <row r="599" spans="2:28" ht="15.75" customHeight="1"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</row>
    <row r="600" spans="2:28" ht="15.75" customHeight="1"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</row>
    <row r="601" spans="2:28" ht="15.75" customHeight="1"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</row>
    <row r="602" spans="2:28" ht="15.75" customHeight="1"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</row>
    <row r="603" spans="2:28" ht="15.75" customHeight="1"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</row>
    <row r="604" spans="2:28" ht="15.75" customHeight="1"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</row>
    <row r="605" spans="2:28" ht="15.75" customHeight="1"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</row>
    <row r="606" spans="2:28" ht="15.75" customHeight="1"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</row>
    <row r="607" spans="2:28" ht="15.75" customHeight="1"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</row>
    <row r="608" spans="2:28" ht="15.75" customHeight="1"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</row>
    <row r="609" spans="2:28" ht="15.75" customHeight="1"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</row>
    <row r="610" spans="2:28" ht="15.75" customHeight="1"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</row>
    <row r="611" spans="2:28" ht="15.75" customHeight="1"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</row>
    <row r="612" spans="2:28" ht="15.75" customHeight="1"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</row>
    <row r="613" spans="2:28" ht="15.75" customHeight="1"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</row>
    <row r="614" spans="2:28" ht="15.75" customHeight="1"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</row>
    <row r="615" spans="2:28" ht="15.75" customHeight="1"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</row>
    <row r="616" spans="2:28" ht="15.75" customHeight="1"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</row>
    <row r="617" spans="2:28" ht="15.75" customHeight="1"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</row>
    <row r="618" spans="2:28" ht="15.75" customHeight="1"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</row>
    <row r="619" spans="2:28" ht="15.75" customHeight="1"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</row>
    <row r="620" spans="2:28" ht="15.75" customHeight="1"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</row>
    <row r="621" spans="2:28" ht="15.75" customHeight="1"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</row>
    <row r="622" spans="2:28" ht="15.75" customHeight="1"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</row>
    <row r="623" spans="2:28" ht="15.75" customHeight="1"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</row>
    <row r="624" spans="2:28" ht="15.75" customHeight="1"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</row>
    <row r="625" spans="2:28" ht="15.75" customHeight="1"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</row>
    <row r="626" spans="2:28" ht="15.75" customHeight="1"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</row>
    <row r="627" spans="2:28" ht="15.75" customHeight="1"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</row>
    <row r="628" spans="2:28" ht="15.75" customHeight="1"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</row>
    <row r="629" spans="2:28" ht="15.75" customHeight="1"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</row>
    <row r="630" spans="2:28" ht="15.75" customHeight="1"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</row>
    <row r="631" spans="2:28" ht="15.75" customHeight="1"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</row>
    <row r="632" spans="2:28" ht="15.75" customHeight="1"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</row>
    <row r="633" spans="2:28" ht="15.75" customHeight="1"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</row>
    <row r="634" spans="2:28" ht="15.75" customHeight="1"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</row>
    <row r="635" spans="2:28" ht="15.75" customHeight="1"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</row>
    <row r="636" spans="2:28" ht="15.75" customHeight="1"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</row>
    <row r="637" spans="2:28" ht="15.75" customHeight="1"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</row>
    <row r="638" spans="2:28" ht="15.75" customHeight="1"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</row>
    <row r="639" spans="2:28" ht="15.75" customHeight="1"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</row>
    <row r="640" spans="2:28" ht="15.75" customHeight="1"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</row>
    <row r="641" spans="2:28" ht="15.75" customHeight="1"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</row>
    <row r="642" spans="2:28" ht="15.75" customHeight="1"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</row>
    <row r="643" spans="2:28" ht="15.75" customHeight="1"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</row>
    <row r="644" spans="2:28" ht="15.75" customHeight="1"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</row>
    <row r="645" spans="2:28" ht="15.75" customHeight="1"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</row>
    <row r="646" spans="2:28" ht="15.75" customHeight="1"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</row>
    <row r="647" spans="2:28" ht="15.75" customHeight="1"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</row>
    <row r="648" spans="2:28" ht="15.75" customHeight="1"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</row>
    <row r="649" spans="2:28" ht="15.75" customHeight="1"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</row>
    <row r="650" spans="2:28" ht="15.75" customHeight="1"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</row>
    <row r="651" spans="2:28" ht="15.75" customHeight="1"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</row>
    <row r="652" spans="2:28" ht="15.75" customHeight="1"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</row>
    <row r="653" spans="2:28" ht="15.75" customHeight="1"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</row>
    <row r="654" spans="2:28" ht="15.75" customHeight="1"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</row>
    <row r="655" spans="2:28" ht="15.75" customHeight="1"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</row>
    <row r="656" spans="2:28" ht="15.75" customHeight="1"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</row>
    <row r="657" spans="2:28" ht="15.75" customHeight="1"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</row>
    <row r="658" spans="2:28" ht="15.75" customHeight="1"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</row>
    <row r="659" spans="2:28" ht="15.75" customHeight="1"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</row>
    <row r="660" spans="2:28" ht="15.75" customHeight="1"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</row>
    <row r="661" spans="2:28" ht="15.75" customHeight="1"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</row>
    <row r="662" spans="2:28" ht="15.75" customHeight="1"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</row>
    <row r="663" spans="2:28" ht="15.75" customHeight="1"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</row>
    <row r="664" spans="2:28" ht="15.75" customHeight="1"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</row>
    <row r="665" spans="2:28" ht="15.75" customHeight="1"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</row>
    <row r="666" spans="2:28" ht="15.75" customHeight="1"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</row>
    <row r="667" spans="2:28" ht="15.75" customHeight="1"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</row>
    <row r="668" spans="2:28" ht="15.75" customHeight="1"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</row>
    <row r="669" spans="2:28" ht="15.75" customHeight="1"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</row>
    <row r="670" spans="2:28" ht="15.75" customHeight="1"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</row>
    <row r="671" spans="2:28" ht="15.75" customHeight="1"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</row>
    <row r="672" spans="2:28" ht="15.75" customHeight="1"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</row>
    <row r="673" spans="2:28" ht="15.75" customHeight="1"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</row>
    <row r="674" spans="2:28" ht="15.75" customHeight="1"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</row>
    <row r="675" spans="2:28" ht="15.75" customHeight="1"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</row>
    <row r="676" spans="2:28" ht="15.75" customHeight="1"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</row>
    <row r="677" spans="2:28" ht="15.75" customHeight="1"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</row>
    <row r="678" spans="2:28" ht="15.75" customHeight="1"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</row>
    <row r="679" spans="2:28" ht="15.75" customHeight="1"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</row>
    <row r="680" spans="2:28" ht="15.75" customHeight="1"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</row>
    <row r="681" spans="2:28" ht="15.75" customHeight="1"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</row>
    <row r="682" spans="2:28" ht="15.75" customHeight="1"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</row>
    <row r="683" spans="2:28" ht="15.75" customHeight="1"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</row>
    <row r="684" spans="2:28" ht="15.75" customHeight="1"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</row>
    <row r="685" spans="2:28" ht="15.75" customHeight="1"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</row>
    <row r="686" spans="2:28" ht="15.75" customHeight="1"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</row>
    <row r="687" spans="2:28" ht="15.75" customHeight="1"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</row>
    <row r="688" spans="2:28" ht="15.75" customHeight="1"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</row>
    <row r="689" spans="2:28" ht="15.75" customHeight="1"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</row>
    <row r="690" spans="2:28" ht="15.75" customHeight="1"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</row>
    <row r="691" spans="2:28" ht="15.75" customHeight="1"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</row>
    <row r="692" spans="2:28" ht="15.75" customHeight="1"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</row>
    <row r="693" spans="2:28" ht="15.75" customHeight="1"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</row>
    <row r="694" spans="2:28" ht="15.75" customHeight="1"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</row>
    <row r="695" spans="2:28" ht="15.75" customHeight="1"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</row>
    <row r="696" spans="2:28" ht="15.75" customHeight="1"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</row>
    <row r="697" spans="2:28" ht="15.75" customHeight="1"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</row>
    <row r="698" spans="2:28" ht="15.75" customHeight="1"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</row>
    <row r="699" spans="2:28" ht="15.75" customHeight="1"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</row>
    <row r="700" spans="2:28" ht="15.75" customHeight="1"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</row>
    <row r="701" spans="2:28" ht="15.75" customHeight="1"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</row>
    <row r="702" spans="2:28" ht="15.75" customHeight="1"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</row>
    <row r="703" spans="2:28" ht="15.75" customHeight="1"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</row>
    <row r="704" spans="2:28" ht="15.75" customHeight="1"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</row>
    <row r="705" spans="2:28" ht="15.75" customHeight="1"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</row>
    <row r="706" spans="2:28" ht="15.75" customHeight="1"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</row>
    <row r="707" spans="2:28" ht="15.75" customHeight="1"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</row>
    <row r="708" spans="2:28" ht="15.75" customHeight="1"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</row>
    <row r="709" spans="2:28" ht="15.75" customHeight="1"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</row>
    <row r="710" spans="2:28" ht="15.75" customHeight="1"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</row>
    <row r="711" spans="2:28" ht="15.75" customHeight="1"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</row>
    <row r="712" spans="2:28" ht="15.75" customHeight="1"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</row>
    <row r="713" spans="2:28" ht="15.75" customHeight="1"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</row>
    <row r="714" spans="2:28" ht="15.75" customHeight="1"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</row>
    <row r="715" spans="2:28" ht="15.75" customHeight="1"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</row>
    <row r="716" spans="2:28" ht="15.75" customHeight="1"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</row>
    <row r="717" spans="2:28" ht="15.75" customHeight="1"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</row>
    <row r="718" spans="2:28" ht="15.75" customHeight="1"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</row>
    <row r="719" spans="2:28" ht="15.75" customHeight="1"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</row>
    <row r="720" spans="2:28" ht="15.75" customHeight="1"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</row>
    <row r="721" spans="2:28" ht="15.75" customHeight="1"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</row>
    <row r="722" spans="2:28" ht="15.75" customHeight="1"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</row>
    <row r="723" spans="2:28" ht="15.75" customHeight="1"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</row>
    <row r="724" spans="2:28" ht="15.75" customHeight="1"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</row>
    <row r="725" spans="2:28" ht="15.75" customHeight="1"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</row>
    <row r="726" spans="2:28" ht="15.75" customHeight="1"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</row>
    <row r="727" spans="2:28" ht="15.75" customHeight="1"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</row>
    <row r="728" spans="2:28" ht="15.75" customHeight="1"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</row>
    <row r="729" spans="2:28" ht="15.75" customHeight="1"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</row>
    <row r="730" spans="2:28" ht="15.75" customHeight="1"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</row>
    <row r="731" spans="2:28" ht="15.75" customHeight="1"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</row>
    <row r="732" spans="2:28" ht="15.75" customHeight="1"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</row>
    <row r="733" spans="2:28" ht="15.75" customHeight="1"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</row>
    <row r="734" spans="2:28" ht="15.75" customHeight="1"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</row>
    <row r="735" spans="2:28" ht="15.75" customHeight="1"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</row>
    <row r="736" spans="2:28" ht="15.75" customHeight="1"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</row>
    <row r="737" spans="2:28" ht="15.75" customHeight="1"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</row>
    <row r="738" spans="2:28" ht="15.75" customHeight="1"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</row>
    <row r="739" spans="2:28" ht="15.75" customHeight="1"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</row>
    <row r="740" spans="2:28" ht="15.75" customHeight="1"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</row>
    <row r="741" spans="2:28" ht="15.75" customHeight="1"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</row>
    <row r="742" spans="2:28" ht="15.75" customHeight="1"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</row>
    <row r="743" spans="2:28" ht="15.75" customHeight="1"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</row>
    <row r="744" spans="2:28" ht="15.75" customHeight="1"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</row>
    <row r="745" spans="2:28" ht="15.75" customHeight="1"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</row>
    <row r="746" spans="2:28" ht="15.75" customHeight="1"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</row>
    <row r="747" spans="2:28" ht="15.75" customHeight="1"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</row>
    <row r="748" spans="2:28" ht="15.75" customHeight="1"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</row>
    <row r="749" spans="2:28" ht="15.75" customHeight="1"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</row>
    <row r="750" spans="2:28" ht="15.75" customHeight="1"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</row>
    <row r="751" spans="2:28" ht="15.75" customHeight="1"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</row>
    <row r="752" spans="2:28" ht="15.75" customHeight="1"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</row>
    <row r="753" spans="2:28" ht="15.75" customHeight="1"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</row>
    <row r="754" spans="2:28" ht="15.75" customHeight="1"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</row>
    <row r="755" spans="2:28" ht="15.75" customHeight="1"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</row>
    <row r="756" spans="2:28" ht="15.75" customHeight="1"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</row>
    <row r="757" spans="2:28" ht="15.75" customHeight="1"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</row>
    <row r="758" spans="2:28" ht="15.75" customHeight="1"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</row>
    <row r="759" spans="2:28" ht="15.75" customHeight="1"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</row>
    <row r="760" spans="2:28" ht="15.75" customHeight="1"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</row>
    <row r="761" spans="2:28" ht="15.75" customHeight="1"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</row>
    <row r="762" spans="2:28" ht="15.75" customHeight="1"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</row>
    <row r="763" spans="2:28" ht="15.75" customHeight="1"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</row>
    <row r="764" spans="2:28" ht="15.75" customHeight="1"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</row>
    <row r="765" spans="2:28" ht="15.75" customHeight="1"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</row>
    <row r="766" spans="2:28" ht="15.75" customHeight="1"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</row>
    <row r="767" spans="2:28" ht="15.75" customHeight="1"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</row>
    <row r="768" spans="2:28" ht="15.75" customHeight="1"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</row>
    <row r="769" spans="2:28" ht="15.75" customHeight="1"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</row>
    <row r="770" spans="2:28" ht="15.75" customHeight="1"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</row>
    <row r="771" spans="2:28" ht="15.75" customHeight="1"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</row>
    <row r="772" spans="2:28" ht="15.75" customHeight="1"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</row>
    <row r="773" spans="2:28" ht="15.75" customHeight="1"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</row>
    <row r="774" spans="2:28" ht="15.75" customHeight="1"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</row>
    <row r="775" spans="2:28" ht="15.75" customHeight="1"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</row>
    <row r="776" spans="2:28" ht="15.75" customHeight="1"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</row>
    <row r="777" spans="2:28" ht="15.75" customHeight="1"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</row>
    <row r="778" spans="2:28" ht="15.75" customHeight="1"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</row>
    <row r="779" spans="2:28" ht="15.75" customHeight="1"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</row>
    <row r="780" spans="2:28" ht="15.75" customHeight="1"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</row>
    <row r="781" spans="2:28" ht="15.75" customHeight="1"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</row>
    <row r="782" spans="2:28" ht="15.75" customHeight="1"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</row>
    <row r="783" spans="2:28" ht="15.75" customHeight="1"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</row>
    <row r="784" spans="2:28" ht="15.75" customHeight="1"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</row>
    <row r="785" spans="2:28" ht="15.75" customHeight="1"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</row>
    <row r="786" spans="2:28" ht="15.75" customHeight="1"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</row>
    <row r="787" spans="2:28" ht="15.75" customHeight="1"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</row>
    <row r="788" spans="2:28" ht="15.75" customHeight="1"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</row>
    <row r="789" spans="2:28" ht="15.75" customHeight="1"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</row>
    <row r="790" spans="2:28" ht="15.75" customHeight="1"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</row>
    <row r="791" spans="2:28" ht="15.75" customHeight="1"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</row>
    <row r="792" spans="2:28" ht="15.75" customHeight="1"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</row>
    <row r="793" spans="2:28" ht="15.75" customHeight="1"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</row>
    <row r="794" spans="2:28" ht="15.75" customHeight="1"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</row>
    <row r="795" spans="2:28" ht="15.75" customHeight="1"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</row>
    <row r="796" spans="2:28" ht="15.75" customHeight="1"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</row>
    <row r="797" spans="2:28" ht="15.75" customHeight="1"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</row>
    <row r="798" spans="2:28" ht="15.75" customHeight="1"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</row>
    <row r="799" spans="2:28" ht="15.75" customHeight="1"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</row>
    <row r="800" spans="2:28" ht="15.75" customHeight="1"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</row>
    <row r="801" spans="2:28" ht="15.75" customHeight="1"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</row>
    <row r="802" spans="2:28" ht="15.75" customHeight="1"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</row>
    <row r="803" spans="2:28" ht="15.75" customHeight="1"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</row>
    <row r="804" spans="2:28" ht="15.75" customHeight="1"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</row>
    <row r="805" spans="2:28" ht="15.75" customHeight="1"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</row>
    <row r="806" spans="2:28" ht="15.75" customHeight="1"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</row>
    <row r="807" spans="2:28" ht="15.75" customHeight="1"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</row>
    <row r="808" spans="2:28" ht="15.75" customHeight="1"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</row>
    <row r="809" spans="2:28" ht="15.75" customHeight="1"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</row>
    <row r="810" spans="2:28" ht="15.75" customHeight="1"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</row>
    <row r="811" spans="2:28" ht="15.75" customHeight="1"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</row>
    <row r="812" spans="2:28" ht="15.75" customHeight="1"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</row>
    <row r="813" spans="2:28" ht="15.75" customHeight="1"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</row>
    <row r="814" spans="2:28" ht="15.75" customHeight="1"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</row>
    <row r="815" spans="2:28" ht="15.75" customHeight="1"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</row>
    <row r="816" spans="2:28" ht="15.75" customHeight="1"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</row>
    <row r="817" spans="2:28" ht="15.75" customHeight="1"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</row>
    <row r="818" spans="2:28" ht="15.75" customHeight="1"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</row>
    <row r="819" spans="2:28" ht="15.75" customHeight="1"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</row>
    <row r="820" spans="2:28" ht="15.75" customHeight="1"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</row>
    <row r="821" spans="2:28" ht="15.75" customHeight="1"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</row>
    <row r="822" spans="2:28" ht="15.75" customHeight="1"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</row>
    <row r="823" spans="2:28" ht="15.75" customHeight="1"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</row>
    <row r="824" spans="2:28" ht="15.75" customHeight="1"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</row>
    <row r="825" spans="2:28" ht="15.75" customHeight="1"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</row>
    <row r="826" spans="2:28" ht="15.75" customHeight="1"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</row>
    <row r="827" spans="2:28" ht="15.75" customHeight="1"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</row>
    <row r="828" spans="2:28" ht="15.75" customHeight="1"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</row>
    <row r="829" spans="2:28" ht="15.75" customHeight="1"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</row>
    <row r="830" spans="2:28" ht="15.75" customHeight="1"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</row>
    <row r="831" spans="2:28" ht="15.75" customHeight="1"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</row>
    <row r="832" spans="2:28" ht="15.75" customHeight="1"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</row>
    <row r="833" spans="2:28" ht="15.75" customHeight="1"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</row>
    <row r="834" spans="2:28" ht="15.75" customHeight="1"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</row>
    <row r="835" spans="2:28" ht="15.75" customHeight="1"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</row>
    <row r="836" spans="2:28" ht="15.75" customHeight="1"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</row>
    <row r="837" spans="2:28" ht="15.75" customHeight="1"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</row>
    <row r="838" spans="2:28" ht="15.75" customHeight="1"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</row>
    <row r="839" spans="2:28" ht="15.75" customHeight="1"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</row>
    <row r="840" spans="2:28" ht="15.75" customHeight="1"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</row>
    <row r="841" spans="2:28" ht="15.75" customHeight="1"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</row>
    <row r="842" spans="2:28" ht="15.75" customHeight="1"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</row>
    <row r="843" spans="2:28" ht="15.75" customHeight="1"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</row>
    <row r="844" spans="2:28" ht="15.75" customHeight="1"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</row>
    <row r="845" spans="2:28" ht="15.75" customHeight="1"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</row>
    <row r="846" spans="2:28" ht="15.75" customHeight="1"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</row>
    <row r="847" spans="2:28" ht="15.75" customHeight="1"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</row>
    <row r="848" spans="2:28" ht="15.75" customHeight="1"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</row>
    <row r="849" spans="2:28" ht="15.75" customHeight="1"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</row>
    <row r="850" spans="2:28" ht="15.75" customHeight="1"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</row>
    <row r="851" spans="2:28" ht="15.75" customHeight="1"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</row>
    <row r="852" spans="2:28" ht="15.75" customHeight="1"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</row>
    <row r="853" spans="2:28" ht="15.75" customHeight="1"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</row>
    <row r="854" spans="2:28" ht="15.75" customHeight="1"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</row>
    <row r="855" spans="2:28" ht="15.75" customHeight="1"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</row>
    <row r="856" spans="2:28" ht="15.75" customHeight="1"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</row>
    <row r="857" spans="2:28" ht="15.75" customHeight="1"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</row>
    <row r="858" spans="2:28" ht="15.75" customHeight="1"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</row>
    <row r="859" spans="2:28" ht="15.75" customHeight="1"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</row>
    <row r="860" spans="2:28" ht="15.75" customHeight="1"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</row>
    <row r="861" spans="2:28" ht="15.75" customHeight="1"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</row>
    <row r="862" spans="2:28" ht="15.75" customHeight="1"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</row>
    <row r="863" spans="2:28" ht="15.75" customHeight="1"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</row>
    <row r="864" spans="2:28" ht="15.75" customHeight="1"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</row>
    <row r="865" spans="2:28" ht="15.75" customHeight="1"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</row>
    <row r="866" spans="2:28" ht="15.75" customHeight="1"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</row>
    <row r="867" spans="2:28" ht="15.75" customHeight="1"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</row>
    <row r="868" spans="2:28" ht="15.75" customHeight="1"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</row>
    <row r="869" spans="2:28" ht="15.75" customHeight="1"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</row>
    <row r="870" spans="2:28" ht="15.75" customHeight="1"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</row>
    <row r="871" spans="2:28" ht="15.75" customHeight="1"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</row>
    <row r="872" spans="2:28" ht="15.75" customHeight="1"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</row>
    <row r="873" spans="2:28" ht="15.75" customHeight="1"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</row>
    <row r="874" spans="2:28" ht="15.75" customHeight="1"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</row>
    <row r="875" spans="2:28" ht="15.75" customHeight="1"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</row>
    <row r="876" spans="2:28" ht="15.75" customHeight="1"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</row>
    <row r="877" spans="2:28" ht="15.75" customHeight="1"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</row>
    <row r="878" spans="2:28" ht="15.75" customHeight="1"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</row>
    <row r="879" spans="2:28" ht="15.75" customHeight="1"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</row>
    <row r="880" spans="2:28" ht="15.75" customHeight="1"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</row>
    <row r="881" spans="2:28" ht="15.75" customHeight="1"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</row>
    <row r="882" spans="2:28" ht="15.75" customHeight="1"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</row>
    <row r="883" spans="2:28" ht="15.75" customHeight="1"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</row>
    <row r="884" spans="2:28" ht="15.75" customHeight="1"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</row>
    <row r="885" spans="2:28" ht="15.75" customHeight="1"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</row>
    <row r="886" spans="2:28" ht="15.75" customHeight="1"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</row>
    <row r="887" spans="2:28" ht="15.75" customHeight="1"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</row>
    <row r="888" spans="2:28" ht="15.75" customHeight="1"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</row>
    <row r="889" spans="2:28" ht="15.75" customHeight="1"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</row>
    <row r="890" spans="2:28" ht="15.75" customHeight="1"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</row>
    <row r="891" spans="2:28" ht="15.75" customHeight="1"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</row>
    <row r="892" spans="2:28" ht="15.75" customHeight="1"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</row>
    <row r="893" spans="2:28" ht="15.75" customHeight="1"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</row>
    <row r="894" spans="2:28" ht="15.75" customHeight="1"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</row>
    <row r="895" spans="2:28" ht="15.75" customHeight="1"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</row>
    <row r="896" spans="2:28" ht="15.75" customHeight="1"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</row>
    <row r="897" spans="2:28" ht="15.75" customHeight="1"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</row>
    <row r="898" spans="2:28" ht="15.75" customHeight="1"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</row>
    <row r="899" spans="2:28" ht="15.75" customHeight="1"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</row>
    <row r="900" spans="2:28" ht="15.75" customHeight="1"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</row>
    <row r="901" spans="2:28" ht="15.75" customHeight="1"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</row>
    <row r="902" spans="2:28" ht="15.75" customHeight="1"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</row>
    <row r="903" spans="2:28" ht="15.75" customHeight="1"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</row>
    <row r="904" spans="2:28" ht="15.75" customHeight="1"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</row>
    <row r="905" spans="2:28" ht="15.75" customHeight="1"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</row>
    <row r="906" spans="2:28" ht="15.75" customHeight="1"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</row>
    <row r="907" spans="2:28" ht="15.75" customHeight="1"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</row>
    <row r="908" spans="2:28" ht="15.75" customHeight="1"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</row>
    <row r="909" spans="2:28" ht="15.75" customHeight="1"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</row>
    <row r="910" spans="2:28" ht="15.75" customHeight="1"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</row>
    <row r="911" spans="2:28" ht="15.75" customHeight="1"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</row>
    <row r="912" spans="2:28" ht="15.75" customHeight="1"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</row>
    <row r="913" spans="2:28" ht="15.75" customHeight="1"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</row>
    <row r="914" spans="2:28" ht="15.75" customHeight="1"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</row>
    <row r="915" spans="2:28" ht="15.75" customHeight="1"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</row>
    <row r="916" spans="2:28" ht="15.75" customHeight="1"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</row>
    <row r="917" spans="2:28" ht="15.75" customHeight="1"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</row>
    <row r="918" spans="2:28" ht="15.75" customHeight="1"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</row>
    <row r="919" spans="2:28" ht="15.75" customHeight="1"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</row>
    <row r="920" spans="2:28" ht="15.75" customHeight="1"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</row>
    <row r="921" spans="2:28" ht="15.75" customHeight="1"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</row>
    <row r="922" spans="2:28" ht="15.75" customHeight="1"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</row>
    <row r="923" spans="2:28" ht="15.75" customHeight="1"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</row>
    <row r="924" spans="2:28" ht="15.75" customHeight="1"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</row>
    <row r="925" spans="2:28" ht="15.75" customHeight="1"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</row>
    <row r="926" spans="2:28" ht="15.75" customHeight="1"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</row>
    <row r="927" spans="2:28" ht="15.75" customHeight="1"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</row>
    <row r="928" spans="2:28" ht="15.75" customHeight="1"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</row>
    <row r="929" spans="2:28" ht="15.75" customHeight="1"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</row>
    <row r="930" spans="2:28" ht="15.75" customHeight="1"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</row>
    <row r="931" spans="2:28" ht="15.75" customHeight="1"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</row>
    <row r="932" spans="2:28" ht="15.75" customHeight="1"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</row>
    <row r="933" spans="2:28" ht="15.75" customHeight="1"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</row>
    <row r="934" spans="2:28" ht="15.75" customHeight="1"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</row>
    <row r="935" spans="2:28" ht="15.75" customHeight="1"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</row>
    <row r="936" spans="2:28" ht="15.75" customHeight="1"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</row>
    <row r="937" spans="2:28" ht="15.75" customHeight="1"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</row>
    <row r="938" spans="2:28" ht="15.75" customHeight="1"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</row>
    <row r="939" spans="2:28" ht="15.75" customHeight="1"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</row>
    <row r="940" spans="2:28" ht="15.75" customHeight="1"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</row>
    <row r="941" spans="2:28" ht="15.75" customHeight="1"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</row>
    <row r="942" spans="2:28" ht="15.75" customHeight="1"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</row>
    <row r="943" spans="2:28" ht="15.75" customHeight="1"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</row>
    <row r="944" spans="2:28" ht="15.75" customHeight="1"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</row>
    <row r="945" spans="2:28" ht="15.75" customHeight="1"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</row>
    <row r="946" spans="2:28" ht="15.75" customHeight="1"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</row>
    <row r="947" spans="2:28" ht="15.75" customHeight="1"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</row>
    <row r="948" spans="2:28" ht="15.75" customHeight="1"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</row>
    <row r="949" spans="2:28" ht="15.75" customHeight="1"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</row>
    <row r="950" spans="2:28" ht="15.75" customHeight="1"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</row>
    <row r="951" spans="2:28" ht="15.75" customHeight="1"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</row>
    <row r="952" spans="2:28" ht="15.75" customHeight="1"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</row>
    <row r="953" spans="2:28" ht="15.75" customHeight="1"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</row>
    <row r="954" spans="2:28" ht="15.75" customHeight="1"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</row>
    <row r="955" spans="2:28" ht="15.75" customHeight="1"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</row>
    <row r="956" spans="2:28" ht="15.75" customHeight="1"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</row>
    <row r="957" spans="2:28" ht="15.75" customHeight="1"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</row>
    <row r="958" spans="2:28" ht="15.75" customHeight="1"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</row>
    <row r="959" spans="2:28" ht="15.75" customHeight="1"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</row>
    <row r="960" spans="2:28" ht="15.75" customHeight="1"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</row>
    <row r="961" spans="2:28" ht="15.75" customHeight="1"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</row>
    <row r="962" spans="2:28" ht="15.75" customHeight="1"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</row>
    <row r="963" spans="2:28" ht="15.75" customHeight="1"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</row>
    <row r="964" spans="2:28" ht="15.75" customHeight="1"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</row>
    <row r="965" spans="2:28" ht="15.75" customHeight="1"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</row>
    <row r="966" spans="2:28" ht="15.75" customHeight="1"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</row>
    <row r="967" spans="2:28" ht="15.75" customHeight="1"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</row>
    <row r="968" spans="2:28" ht="15.75" customHeight="1"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</row>
    <row r="969" spans="2:28" ht="15.75" customHeight="1"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</row>
    <row r="970" spans="2:28" ht="15.75" customHeight="1"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</row>
    <row r="971" spans="2:28" ht="15.75" customHeight="1"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</row>
    <row r="972" spans="2:28" ht="15.75" customHeight="1"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</row>
    <row r="973" spans="2:28" ht="15.75" customHeight="1"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</row>
    <row r="974" spans="2:28" ht="15.75" customHeight="1"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</row>
    <row r="975" spans="2:28" ht="15.75" customHeight="1"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</row>
    <row r="976" spans="2:28" ht="15.75" customHeight="1"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</row>
    <row r="977" spans="2:28" ht="15.75" customHeight="1"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</row>
    <row r="978" spans="2:28" ht="15.75" customHeight="1"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</row>
    <row r="979" spans="2:28" ht="15.75" customHeight="1"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</row>
    <row r="980" spans="2:28" ht="15.75" customHeight="1"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</row>
    <row r="981" spans="2:28" ht="15.75" customHeight="1"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</row>
    <row r="982" spans="2:28" ht="15.75" customHeight="1"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</row>
    <row r="983" spans="2:28" ht="15.75" customHeight="1"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</row>
    <row r="984" spans="2:28" ht="15.75" customHeight="1"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</row>
    <row r="985" spans="2:28" ht="15.75" customHeight="1"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</row>
    <row r="986" spans="2:28" ht="15.75" customHeight="1"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</row>
    <row r="987" spans="2:28" ht="15.75" customHeight="1"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</row>
    <row r="988" spans="2:28" ht="15.75" customHeight="1"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</row>
    <row r="989" spans="2:28" ht="15.75" customHeight="1"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</row>
    <row r="990" spans="2:28" ht="15.75" customHeight="1"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</row>
    <row r="991" spans="2:28" ht="15.75" customHeight="1"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</row>
    <row r="992" spans="2:28" ht="15.75" customHeight="1"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</row>
    <row r="993" spans="2:28" ht="15.75" customHeight="1"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</row>
    <row r="994" spans="2:28" ht="15.75" customHeight="1"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</row>
    <row r="995" spans="2:28" ht="15.75" customHeight="1"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</row>
    <row r="996" spans="2:28" ht="15.75" customHeight="1"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</row>
    <row r="997" spans="2:28" ht="15.75" customHeight="1"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</row>
    <row r="998" spans="2:28" ht="15.75" customHeight="1"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</row>
    <row r="999" spans="2:28" ht="15.75" customHeight="1"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</row>
    <row r="1000" spans="2:28" ht="15.75" customHeight="1"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</row>
  </sheetData>
  <mergeCells count="6">
    <mergeCell ref="M21:M25"/>
    <mergeCell ref="M14:O14"/>
    <mergeCell ref="A1:K1"/>
    <mergeCell ref="P14:Q14"/>
    <mergeCell ref="R14:S14"/>
    <mergeCell ref="M16:M20"/>
  </mergeCells>
  <phoneticPr fontId="13" type="noConversion"/>
  <conditionalFormatting sqref="A3:K23">
    <cfRule type="expression" dxfId="4" priority="6">
      <formula>$J3="CONSEGNATO A MANO"</formula>
    </cfRule>
    <cfRule type="expression" dxfId="3" priority="7">
      <formula>$J3="ANNULLATO"</formula>
    </cfRule>
    <cfRule type="expression" dxfId="2" priority="8">
      <formula>$J3="DA RITIRARE"</formula>
    </cfRule>
    <cfRule type="expression" dxfId="1" priority="9">
      <formula>$J3="CONSEGNATO"</formula>
    </cfRule>
    <cfRule type="expression" dxfId="0" priority="10">
      <formula>$J3="DA CONSEGNARE"</formula>
    </cfRule>
  </conditionalFormatting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FFCFC-DBD4-45B7-9971-B093497730F8}">
  <dimension ref="A1:C13"/>
  <sheetViews>
    <sheetView workbookViewId="0">
      <selection activeCell="D5" sqref="D5"/>
    </sheetView>
  </sheetViews>
  <sheetFormatPr defaultRowHeight="15"/>
  <cols>
    <col min="1" max="1" width="18.5703125" bestFit="1" customWidth="1"/>
    <col min="2" max="4" width="17.28515625" bestFit="1" customWidth="1"/>
    <col min="5" max="5" width="10.5703125" bestFit="1" customWidth="1"/>
    <col min="6" max="6" width="14.28515625" bestFit="1" customWidth="1"/>
    <col min="7" max="7" width="11.28515625" bestFit="1" customWidth="1"/>
    <col min="8" max="8" width="9.28515625" bestFit="1" customWidth="1"/>
    <col min="9" max="9" width="10.5703125" bestFit="1" customWidth="1"/>
  </cols>
  <sheetData>
    <row r="1" spans="1:3">
      <c r="A1" s="92" t="s">
        <v>154</v>
      </c>
      <c r="B1" s="92" t="s">
        <v>155</v>
      </c>
      <c r="C1" s="92" t="s">
        <v>187</v>
      </c>
    </row>
    <row r="2" spans="1:3">
      <c r="A2" s="93" t="s">
        <v>156</v>
      </c>
      <c r="B2" s="93">
        <v>27.99</v>
      </c>
      <c r="C2" s="95">
        <v>1</v>
      </c>
    </row>
    <row r="3" spans="1:3">
      <c r="A3" s="93" t="s">
        <v>178</v>
      </c>
      <c r="B3" s="93">
        <v>27.99</v>
      </c>
      <c r="C3" s="95">
        <v>1</v>
      </c>
    </row>
    <row r="4" spans="1:3">
      <c r="A4" s="94" t="s">
        <v>179</v>
      </c>
      <c r="B4" s="93">
        <v>27.99</v>
      </c>
      <c r="C4" s="95">
        <v>1</v>
      </c>
    </row>
    <row r="5" spans="1:3">
      <c r="A5" s="94" t="s">
        <v>180</v>
      </c>
      <c r="B5" s="93">
        <v>32.99</v>
      </c>
      <c r="C5" s="96">
        <v>3</v>
      </c>
    </row>
    <row r="6" spans="1:3">
      <c r="A6" s="94" t="s">
        <v>181</v>
      </c>
      <c r="B6" s="93">
        <v>32.99</v>
      </c>
      <c r="C6" s="96">
        <v>3</v>
      </c>
    </row>
    <row r="7" spans="1:3">
      <c r="A7" s="94" t="s">
        <v>182</v>
      </c>
      <c r="B7" s="93">
        <v>27.99</v>
      </c>
      <c r="C7" s="95">
        <v>1</v>
      </c>
    </row>
    <row r="8" spans="1:3">
      <c r="A8" s="94" t="s">
        <v>183</v>
      </c>
      <c r="B8" s="93">
        <v>27.99</v>
      </c>
      <c r="C8" s="95">
        <v>1</v>
      </c>
    </row>
    <row r="9" spans="1:3">
      <c r="A9" s="94" t="s">
        <v>186</v>
      </c>
      <c r="B9" s="94">
        <v>29.99</v>
      </c>
      <c r="C9" s="97">
        <v>2</v>
      </c>
    </row>
    <row r="12" spans="1:3">
      <c r="A12" s="77" t="s">
        <v>184</v>
      </c>
    </row>
    <row r="13" spans="1:3">
      <c r="A13" s="77" t="s">
        <v>185</v>
      </c>
    </row>
  </sheetData>
  <phoneticPr fontId="1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Foglio1</vt:lpstr>
      <vt:lpstr>Foglio2</vt:lpstr>
      <vt:lpstr>Foglio3</vt:lpstr>
      <vt:lpstr>Foglio4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Mattia Forneron</dc:creator>
  <cp:lastModifiedBy>Mattia  Forneron</cp:lastModifiedBy>
  <dcterms:created xsi:type="dcterms:W3CDTF">2015-06-05T18:19:34Z</dcterms:created>
  <dcterms:modified xsi:type="dcterms:W3CDTF">2025-03-05T09:56:24Z</dcterms:modified>
</cp:coreProperties>
</file>