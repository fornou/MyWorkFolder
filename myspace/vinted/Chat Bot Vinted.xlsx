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attia.forneron\Desktop\myfolder\MyWorkFolder\myspace\vinted\"/>
    </mc:Choice>
  </mc:AlternateContent>
  <xr:revisionPtr revIDLastSave="0" documentId="13_ncr:1_{43C1BAA4-C2F4-486D-B66C-52BCB1D0ED05}" xr6:coauthVersionLast="47" xr6:coauthVersionMax="47" xr10:uidLastSave="{00000000-0000-0000-0000-000000000000}"/>
  <bookViews>
    <workbookView xWindow="-23148" yWindow="1440" windowWidth="23256" windowHeight="13176" activeTab="5" xr2:uid="{00000000-000D-0000-FFFF-FFFF00000000}"/>
  </bookViews>
  <sheets>
    <sheet name="Frasi" sheetId="1" r:id="rId1"/>
    <sheet name="Dinofroz List" sheetId="2" r:id="rId2"/>
    <sheet name="Spedizioni" sheetId="3" r:id="rId3"/>
    <sheet name="Cartucce List" sheetId="4" r:id="rId4"/>
    <sheet name="Spiegazione" sheetId="5" r:id="rId5"/>
    <sheet name="Allenamento giornaliero"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jyX7o/HUAg6Dk7/zdUmPcq2MPYf6sLyDbh7wAw8wyxY="/>
    </ext>
  </extLst>
</workbook>
</file>

<file path=xl/calcChain.xml><?xml version="1.0" encoding="utf-8"?>
<calcChain xmlns="http://schemas.openxmlformats.org/spreadsheetml/2006/main">
  <c r="G5" i="6" l="1"/>
  <c r="G6" i="6"/>
  <c r="G7" i="6"/>
  <c r="G4" i="6"/>
  <c r="N26" i="3"/>
  <c r="Q22" i="3"/>
  <c r="P22" i="3"/>
  <c r="D23" i="3"/>
  <c r="D22" i="3"/>
  <c r="D21" i="3"/>
  <c r="O26" i="3"/>
  <c r="P21" i="3"/>
  <c r="Q21" i="3"/>
  <c r="P13" i="2"/>
  <c r="P12" i="2"/>
  <c r="P11" i="2" s="1"/>
  <c r="R22" i="3" l="1"/>
  <c r="S22" i="3"/>
  <c r="R21" i="3"/>
  <c r="S21" i="3"/>
  <c r="D19" i="3"/>
  <c r="P7" i="3"/>
  <c r="P6" i="3"/>
  <c r="Q16" i="3"/>
  <c r="Q17" i="3"/>
  <c r="Q18" i="3"/>
  <c r="Q19" i="3"/>
  <c r="Q20" i="3"/>
  <c r="P16" i="3"/>
  <c r="P17" i="3"/>
  <c r="S17" i="3" s="1"/>
  <c r="P18" i="3"/>
  <c r="S18" i="3" s="1"/>
  <c r="P19" i="3"/>
  <c r="S19" i="3" s="1"/>
  <c r="P20" i="3"/>
  <c r="S20" i="3" s="1"/>
  <c r="D20" i="3"/>
  <c r="D3" i="3"/>
  <c r="D12" i="3"/>
  <c r="D16" i="3"/>
  <c r="D17" i="3"/>
  <c r="D18" i="3"/>
  <c r="D15" i="3"/>
  <c r="D14" i="3"/>
  <c r="D13" i="3"/>
  <c r="D11" i="3"/>
  <c r="D10" i="3"/>
  <c r="P9" i="3"/>
  <c r="O9" i="3"/>
  <c r="D9" i="3"/>
  <c r="P8" i="3"/>
  <c r="O8" i="3"/>
  <c r="D8" i="3"/>
  <c r="O7" i="3"/>
  <c r="D7" i="3"/>
  <c r="O6" i="3"/>
  <c r="D6" i="3"/>
  <c r="D5" i="3"/>
  <c r="P4" i="3"/>
  <c r="O4" i="3"/>
  <c r="D4" i="3"/>
  <c r="K23" i="2"/>
  <c r="J23" i="2"/>
  <c r="H23" i="2"/>
  <c r="I22" i="2"/>
  <c r="I21" i="2"/>
  <c r="I20" i="2"/>
  <c r="I19" i="2"/>
  <c r="I18" i="2"/>
  <c r="I17" i="2"/>
  <c r="I16" i="2"/>
  <c r="I15" i="2"/>
  <c r="I14" i="2"/>
  <c r="I13" i="2"/>
  <c r="P14" i="2" s="1"/>
  <c r="I12" i="2"/>
  <c r="I11" i="2"/>
  <c r="P10" i="2"/>
  <c r="I10" i="2"/>
  <c r="I9" i="2"/>
  <c r="S16" i="3" l="1"/>
  <c r="P26" i="3"/>
  <c r="Q26" i="3"/>
  <c r="I23" i="2"/>
  <c r="R16" i="3"/>
  <c r="R20" i="3"/>
  <c r="R19" i="3"/>
  <c r="R18" i="3"/>
  <c r="R17" i="3"/>
  <c r="P5" i="3"/>
  <c r="P10" i="3"/>
  <c r="P11" i="3" s="1"/>
  <c r="P12" i="3" s="1"/>
  <c r="O10" i="3"/>
  <c r="O11" i="3" s="1"/>
  <c r="O12" i="3" s="1"/>
  <c r="O5" i="3"/>
  <c r="P9" i="2"/>
  <c r="R26" i="3" l="1"/>
  <c r="S26" i="3"/>
</calcChain>
</file>

<file path=xl/sharedStrings.xml><?xml version="1.0" encoding="utf-8"?>
<sst xmlns="http://schemas.openxmlformats.org/spreadsheetml/2006/main" count="370" uniqueCount="237">
  <si>
    <t>Ordine</t>
  </si>
  <si>
    <t>Frase</t>
  </si>
  <si>
    <t>Codice</t>
  </si>
  <si>
    <t>Nome</t>
  </si>
  <si>
    <t>Prezzo di mercato</t>
  </si>
  <si>
    <t>Mio Prezzo</t>
  </si>
  <si>
    <t>Prezzo venduto</t>
  </si>
  <si>
    <t>Venduto</t>
  </si>
  <si>
    <t>1/72</t>
  </si>
  <si>
    <t>TRICERATOPS</t>
  </si>
  <si>
    <t>True</t>
  </si>
  <si>
    <t>Media dei pezzi(teorica)</t>
  </si>
  <si>
    <t>5/72</t>
  </si>
  <si>
    <t>ANKYLOSAURUS  </t>
  </si>
  <si>
    <t>Media dei pezzi(effettiva)</t>
  </si>
  <si>
    <t>21/72</t>
  </si>
  <si>
    <t xml:space="preserve">VELOCIRAPTOR </t>
  </si>
  <si>
    <t>False</t>
  </si>
  <si>
    <t>Da vendere</t>
  </si>
  <si>
    <t>23/72</t>
  </si>
  <si>
    <t xml:space="preserve">PSITTACOSAURUS </t>
  </si>
  <si>
    <t>Ricavo(teorico)</t>
  </si>
  <si>
    <t>25/72</t>
  </si>
  <si>
    <t xml:space="preserve">SPINOSAURUS  </t>
  </si>
  <si>
    <t>Ricavo(effettivo)</t>
  </si>
  <si>
    <t>27/72</t>
  </si>
  <si>
    <t xml:space="preserve">TSINTAOSAURUS  </t>
  </si>
  <si>
    <t>"Perdita"</t>
  </si>
  <si>
    <t>37/72</t>
  </si>
  <si>
    <t xml:space="preserve">DIMETRODON  </t>
  </si>
  <si>
    <t>39/72</t>
  </si>
  <si>
    <t xml:space="preserve">STEGOSAURUS  </t>
  </si>
  <si>
    <t>41/72</t>
  </si>
  <si>
    <t>BARYONYX</t>
  </si>
  <si>
    <t>43/72</t>
  </si>
  <si>
    <t xml:space="preserve">STYRACOSAURUS  </t>
  </si>
  <si>
    <t>45/72</t>
  </si>
  <si>
    <t>GALLIMIMUS</t>
  </si>
  <si>
    <t>59/72</t>
  </si>
  <si>
    <t xml:space="preserve">PTERANODON </t>
  </si>
  <si>
    <t>63/72</t>
  </si>
  <si>
    <t xml:space="preserve">BRONTOSAURUS  </t>
  </si>
  <si>
    <t>71/72</t>
  </si>
  <si>
    <t xml:space="preserve">HYPSILOPHODON </t>
  </si>
  <si>
    <t xml:space="preserve">Totale </t>
  </si>
  <si>
    <t>14 Pezzi</t>
  </si>
  <si>
    <t>Dettagli su calcoli dei prezzi</t>
  </si>
  <si>
    <t>Per i prodotti sui 15€ la formula è (prezzo -5 /2)</t>
  </si>
  <si>
    <t>Per i prodotti sui 10 o 9€ la formula è (prezzo /2) -1</t>
  </si>
  <si>
    <t>Spedizioni</t>
  </si>
  <si>
    <t>Giorno Spedizione</t>
  </si>
  <si>
    <t>Giorno di arrivo</t>
  </si>
  <si>
    <t>Luogo di partenza</t>
  </si>
  <si>
    <t>Luogo Destinazione</t>
  </si>
  <si>
    <t>Prodotto</t>
  </si>
  <si>
    <t>Persona</t>
  </si>
  <si>
    <t>Corriere</t>
  </si>
  <si>
    <t>Stato</t>
  </si>
  <si>
    <t>Costo</t>
  </si>
  <si>
    <t>martedì, 4/02/2025</t>
  </si>
  <si>
    <t>S. secondo di Pinerolo</t>
  </si>
  <si>
    <t>FrankFurt, Germania</t>
  </si>
  <si>
    <t>2 Tshirt</t>
  </si>
  <si>
    <t>martyna4172</t>
  </si>
  <si>
    <t>Ups</t>
  </si>
  <si>
    <t>ANNULLATO</t>
  </si>
  <si>
    <t>Tipo Saldo</t>
  </si>
  <si>
    <t>Tot €</t>
  </si>
  <si>
    <t>N°</t>
  </si>
  <si>
    <t>Carnaxide, Portogsllo</t>
  </si>
  <si>
    <t>T-shirt Loose Fit Snoopy</t>
  </si>
  <si>
    <t>jorgea92</t>
  </si>
  <si>
    <t>InPost</t>
  </si>
  <si>
    <t>CONSEGNATO</t>
  </si>
  <si>
    <t>venerdì, 14/02/2025</t>
  </si>
  <si>
    <t>Tshirt superpapà</t>
  </si>
  <si>
    <t xml:space="preserve"> IN SOSPESO</t>
  </si>
  <si>
    <t>Novara</t>
  </si>
  <si>
    <t>DragonBall 7 mini Figure</t>
  </si>
  <si>
    <t>niko230393</t>
  </si>
  <si>
    <t>Poste Italiane</t>
  </si>
  <si>
    <t>ONLINE</t>
  </si>
  <si>
    <t>Bizzarone(CO)</t>
  </si>
  <si>
    <t>2 Mini macchine cricchetto+red</t>
  </si>
  <si>
    <t>plclerici</t>
  </si>
  <si>
    <t>A MANO</t>
  </si>
  <si>
    <t>giovedì, 20/02/2025</t>
  </si>
  <si>
    <t>Ancona</t>
  </si>
  <si>
    <t>Saetta Blu</t>
  </si>
  <si>
    <t>axaelena</t>
  </si>
  <si>
    <t xml:space="preserve"> DA CONSEGNARE</t>
  </si>
  <si>
    <t>Roma</t>
  </si>
  <si>
    <t>2 Macchine saetta + ramone</t>
  </si>
  <si>
    <t>almacom1980</t>
  </si>
  <si>
    <t>DA RITIRARE</t>
  </si>
  <si>
    <t>Trieste</t>
  </si>
  <si>
    <t>2 Mini macchine saetta</t>
  </si>
  <si>
    <t>spendopoco80</t>
  </si>
  <si>
    <t xml:space="preserve">TOTALE   </t>
  </si>
  <si>
    <t>Millesimo</t>
  </si>
  <si>
    <t>4 Mini macchine</t>
  </si>
  <si>
    <t>quadrifoglio15</t>
  </si>
  <si>
    <t>TOTALE - ANNULLATI</t>
  </si>
  <si>
    <t>Calais, Francia</t>
  </si>
  <si>
    <t>2 figure Wednesday + cubo rubick</t>
  </si>
  <si>
    <t>ni_bi_ru</t>
  </si>
  <si>
    <t>BRT</t>
  </si>
  <si>
    <t>martedì, 18/02/2025</t>
  </si>
  <si>
    <t>Napoli</t>
  </si>
  <si>
    <t>Cartuccia nero</t>
  </si>
  <si>
    <t>solelibero</t>
  </si>
  <si>
    <t>Periodo</t>
  </si>
  <si>
    <t>Quantità</t>
  </si>
  <si>
    <t>Media</t>
  </si>
  <si>
    <t>Reggio Emilia</t>
  </si>
  <si>
    <t>Cartuccia colore</t>
  </si>
  <si>
    <t>elenasimonini</t>
  </si>
  <si>
    <t>Settimane</t>
  </si>
  <si>
    <t>X vendita</t>
  </si>
  <si>
    <t>X giorno</t>
  </si>
  <si>
    <t>Bras, Belgio</t>
  </si>
  <si>
    <t>T-shirt bianca Tena</t>
  </si>
  <si>
    <t>val6800</t>
  </si>
  <si>
    <t>Prima settimana</t>
  </si>
  <si>
    <t>27gen -  01feb</t>
  </si>
  <si>
    <t>Arcore(MI)</t>
  </si>
  <si>
    <t>Dimetrodon + Spinosaurus</t>
  </si>
  <si>
    <t>thedraconids</t>
  </si>
  <si>
    <t>DA CONSEGNARE</t>
  </si>
  <si>
    <t>Seconda settimana</t>
  </si>
  <si>
    <t>03feb -  08feb</t>
  </si>
  <si>
    <t>Roletto</t>
  </si>
  <si>
    <t>Tshirt newyork white</t>
  </si>
  <si>
    <t>xxyoloxx2880</t>
  </si>
  <si>
    <t>A mano</t>
  </si>
  <si>
    <t>CONSEGNATO A MANO</t>
  </si>
  <si>
    <t>Terza settimana</t>
  </si>
  <si>
    <t>10feb -  15feb</t>
  </si>
  <si>
    <t>mercoledì, 19/02/2025</t>
  </si>
  <si>
    <t>Loranzè(TO)</t>
  </si>
  <si>
    <t>5 dinofroz</t>
  </si>
  <si>
    <t>gharreyz</t>
  </si>
  <si>
    <t>Quarta settimana</t>
  </si>
  <si>
    <t>17feb -  22feb</t>
  </si>
  <si>
    <t>venerdì, 21/02/2025</t>
  </si>
  <si>
    <t>Monpazier, Francia</t>
  </si>
  <si>
    <t>2 cartucce hp 62 xl</t>
  </si>
  <si>
    <t>jackmonpaz</t>
  </si>
  <si>
    <t>Quinta settimana</t>
  </si>
  <si>
    <t>24feb - 01mar</t>
  </si>
  <si>
    <t>lunedì, 24/02/2025</t>
  </si>
  <si>
    <t>martedì, 25/02/2025</t>
  </si>
  <si>
    <t>3 pacchi di terea</t>
  </si>
  <si>
    <t>lollo rosani</t>
  </si>
  <si>
    <t>Cartuccia</t>
  </si>
  <si>
    <t>Prezzo</t>
  </si>
  <si>
    <t>300black+300color</t>
  </si>
  <si>
    <t>Pacco pronto!! Domani prima di andare a lavoro lo spedisco😊​</t>
  </si>
  <si>
    <t>Pacco spedito!! Ci sentiamo all'arrivo😊​</t>
  </si>
  <si>
    <t>Ho aggiunto altri modellini se eri interessato/a maggiormente a quelli😊​</t>
  </si>
  <si>
    <t>É arrivato!! Mi faccia sapere😊​</t>
  </si>
  <si>
    <t>Spero sia soddisfatto/a del prodotto. Le chiedo una piccola recensione per aiutare il mio profilo. Grazie ancora per aver acquistato da me😊​</t>
  </si>
  <si>
    <t>Ciao NOME, se hai bisogno di qualche info sono qui. Ti consiglio di guardare il mio profilo così se c'è altro che ti interessa possiamo fare un pacchetto unico😊</t>
  </si>
  <si>
    <t>​Ho per esempio altre modellini di Cars, mariokart e Action figure varie.</t>
  </si>
  <si>
    <t>Se le interessano modellini specifici, chieda pure che vedo se posso trovarglieli.</t>
  </si>
  <si>
    <t>​Ho per esempio altre t-shirt con stampe di vari colori.</t>
  </si>
  <si>
    <t>Grazie per aver acquistato da me!!😊</t>
  </si>
  <si>
    <t>Categoria</t>
  </si>
  <si>
    <t>Iniaziale</t>
  </si>
  <si>
    <t>Intermedia</t>
  </si>
  <si>
    <t>Finale</t>
  </si>
  <si>
    <t>Ricerca</t>
  </si>
  <si>
    <t>giovedì, 27/02/2025</t>
  </si>
  <si>
    <t>il_coni</t>
  </si>
  <si>
    <t>Cartuccia hp 62 xl colore</t>
  </si>
  <si>
    <t>Villafranca di Verona</t>
  </si>
  <si>
    <t>Mese</t>
  </si>
  <si>
    <t xml:space="preserve">Durata </t>
  </si>
  <si>
    <t>301black+301color</t>
  </si>
  <si>
    <t>303black+303color</t>
  </si>
  <si>
    <t>953 xl nero</t>
  </si>
  <si>
    <t>953 xl magenta</t>
  </si>
  <si>
    <t>953 xl giallo</t>
  </si>
  <si>
    <t>953 xl blu</t>
  </si>
  <si>
    <t>305+305 20 --&gt; 27,99</t>
  </si>
  <si>
    <t>302+302 18 --&gt; 22,99</t>
  </si>
  <si>
    <t>903 xl nero</t>
  </si>
  <si>
    <t>Guadagno</t>
  </si>
  <si>
    <t>TOTALE VINTED</t>
  </si>
  <si>
    <t>Giorni Lavorativi</t>
  </si>
  <si>
    <t>mercoledì, 26/02/2025</t>
  </si>
  <si>
    <t>Matera</t>
  </si>
  <si>
    <t>62 xl nero</t>
  </si>
  <si>
    <t>baliano</t>
  </si>
  <si>
    <t>Le interessa avere una prova video della creazione del pacco? Posso se vuole linkarle il video visibile soltanto per lei. Se è interessato/a mi faccia sapere  che provvederò al caricamento😊​</t>
  </si>
  <si>
    <t>martedì, 03/03/2025</t>
  </si>
  <si>
    <t>S. Giorgio del Sannio(NA)</t>
  </si>
  <si>
    <t>2 dinofroz</t>
  </si>
  <si>
    <t>vereor4</t>
  </si>
  <si>
    <t>10mar -  15mar</t>
  </si>
  <si>
    <t>17mar -  22mar</t>
  </si>
  <si>
    <t>03mar -  08mar</t>
  </si>
  <si>
    <t>24mar - 29mar</t>
  </si>
  <si>
    <t>31mar - 05apr</t>
  </si>
  <si>
    <t>venerdì, 01/03/2025</t>
  </si>
  <si>
    <t>sabato, 01/03/2025</t>
  </si>
  <si>
    <t>sabato, 08/03/2025</t>
  </si>
  <si>
    <t>lunedì, 10/03/2025</t>
  </si>
  <si>
    <t>Nantes, Francia</t>
  </si>
  <si>
    <t>Cartuccia hp 953xl magenta</t>
  </si>
  <si>
    <t>sous-le-soleil</t>
  </si>
  <si>
    <t>martedì, 11/03/2025</t>
  </si>
  <si>
    <t>Varese</t>
  </si>
  <si>
    <t>Cartucce hp 62xl nero+colore</t>
  </si>
  <si>
    <t>monika68lore</t>
  </si>
  <si>
    <t>mercoledì, 12/03/2025</t>
  </si>
  <si>
    <t>Parigi, Francia</t>
  </si>
  <si>
    <t>ripley_4</t>
  </si>
  <si>
    <t>Inoltre come venditore offro il servizio gratuito di prova video riguardante la creazione del pacchetto e
 spedirei domani mattina presto prima di andare a lavoro Io ho la stampante a disposizione per l'etichetta
 fino alle 4:30pm Attendo un tuo riscontro😊</t>
  </si>
  <si>
    <t>Ti interessa avere una prova video della creazione del pacco? Posso se vuoi linkarti il video visibile soltanto per te. Se ti interessa fammi sapere  che provvederò al caricamento😊​</t>
  </si>
  <si>
    <t>Le cartucce della stampante le ho prese in un
 mercatino dalle parti di torino, adesso non ricordo
 bene quando però metà anno scorso circa.
 Questo signore le svendeva a quanto dir suo perchè era vecchio e si era stufato della stampante che tanto non gli serviva più.
Le metteva pochissimo prezzo e avendo la stampante
 che corrispondeva a quelle cartucce pensai che era un affare non pensando che purtroppo le cartucce avevano
 una scadenza. 
Allora pensai che per lasciarle lì che tanto noi la stampante la usiamo si ma non in quelle quantità me ne tengo un po' da parte e le altre le faccio fuori. Alla fine aiuto altra gente mettendole a molto meno e mi entra qualcosa in tasca.
Dopodichè ho capito che poteva diventare un piccolo business.</t>
  </si>
  <si>
    <t>15 possedute per ora</t>
  </si>
  <si>
    <t>9 vendute</t>
  </si>
  <si>
    <t>6 da vendere</t>
  </si>
  <si>
    <t>Allenamento</t>
  </si>
  <si>
    <t>Giorno</t>
  </si>
  <si>
    <t>Estensione dei Tricipiti 
con manubrio da in piedi</t>
  </si>
  <si>
    <t>Add_2</t>
  </si>
  <si>
    <t>Add_1</t>
  </si>
  <si>
    <t>DumbBell Curl</t>
  </si>
  <si>
    <t>Bic_1</t>
  </si>
  <si>
    <t>Tric_1</t>
  </si>
  <si>
    <t>Pet_1</t>
  </si>
  <si>
    <t>Usando tavola per flessioni
uso versione esterna rossa per spalle</t>
  </si>
  <si>
    <t>Crunch Inverso</t>
  </si>
  <si>
    <t>Sollevamento gambe</t>
  </si>
  <si>
    <t>Tot Add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</si>
</sst>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 #,##0.00\ [$€-410]_-;\-* #,##0.00\ [$€-410]_-;_-* &quot;-&quot;??\ [$€-410]_-;_-@"/>
    <numFmt numFmtId="165" formatCode="dddd\,\ dd/mm/yyyy"/>
    <numFmt numFmtId="166" formatCode="#,##0.00\ &quot;€&quot;"/>
    <numFmt numFmtId="167" formatCode="d/m/yyyy"/>
    <numFmt numFmtId="173" formatCode="dddd\,\ dd/mm/yy"/>
  </numFmts>
  <fonts count="20">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color rgb="FF1F3864"/>
      <name val="Calibri"/>
    </font>
    <font>
      <sz val="12"/>
      <color rgb="FF1F3864"/>
      <name val="Arial"/>
    </font>
    <font>
      <sz val="11"/>
      <color theme="0"/>
      <name val="Calibri"/>
    </font>
    <font>
      <sz val="12"/>
      <color theme="1"/>
      <name val="Arial"/>
    </font>
    <font>
      <sz val="11"/>
      <color rgb="FFFF0000"/>
      <name val="Calibri"/>
    </font>
    <font>
      <sz val="11"/>
      <name val="Calibri"/>
    </font>
    <font>
      <sz val="14"/>
      <color theme="0"/>
      <name val="Overlock"/>
    </font>
    <font>
      <sz val="10"/>
      <color theme="1"/>
      <name val="Overlock"/>
    </font>
    <font>
      <sz val="11"/>
      <color theme="1"/>
      <name val="Calibri"/>
      <family val="2"/>
    </font>
    <font>
      <sz val="8"/>
      <name val="Calibri"/>
      <scheme val="minor"/>
    </font>
    <font>
      <sz val="11"/>
      <color theme="0"/>
      <name val="Calibri"/>
      <family val="2"/>
      <scheme val="minor"/>
    </font>
    <font>
      <sz val="16"/>
      <color theme="1"/>
      <name val="Berlin Sans FB"/>
      <family val="2"/>
    </font>
    <font>
      <sz val="22"/>
      <color theme="0"/>
      <name val="Overlock"/>
    </font>
    <font>
      <sz val="8"/>
      <name val="Calibri"/>
      <family val="2"/>
      <scheme val="minor"/>
    </font>
  </fonts>
  <fills count="27">
    <fill>
      <patternFill patternType="none"/>
    </fill>
    <fill>
      <patternFill patternType="gray125"/>
    </fill>
    <fill>
      <patternFill patternType="solid">
        <fgColor theme="4"/>
        <bgColor theme="4"/>
      </patternFill>
    </fill>
    <fill>
      <patternFill patternType="solid">
        <fgColor rgb="FF9CC2E5"/>
        <bgColor rgb="FF9CC2E5"/>
      </patternFill>
    </fill>
    <fill>
      <patternFill patternType="solid">
        <fgColor rgb="FF2E75B5"/>
        <bgColor rgb="FF2E75B5"/>
      </patternFill>
    </fill>
    <fill>
      <patternFill patternType="solid">
        <fgColor rgb="FF00B0F0"/>
        <bgColor rgb="FF00B0F0"/>
      </patternFill>
    </fill>
    <fill>
      <patternFill patternType="solid">
        <fgColor rgb="FFA5A5A5"/>
        <bgColor rgb="FFA5A5A5"/>
      </patternFill>
    </fill>
    <fill>
      <patternFill patternType="solid">
        <fgColor rgb="FFE4E4E4"/>
        <bgColor rgb="FFE4E4E4"/>
      </patternFill>
    </fill>
    <fill>
      <patternFill patternType="solid">
        <fgColor theme="5"/>
        <bgColor theme="5"/>
      </patternFill>
    </fill>
    <fill>
      <patternFill patternType="solid">
        <fgColor rgb="FFF4B083"/>
        <bgColor rgb="FFF4B083"/>
      </patternFill>
    </fill>
    <fill>
      <patternFill patternType="solid">
        <fgColor theme="9"/>
        <bgColor theme="9"/>
      </patternFill>
    </fill>
    <fill>
      <patternFill patternType="solid">
        <fgColor rgb="FFA8D08D"/>
        <bgColor rgb="FFA8D08D"/>
      </patternFill>
    </fill>
    <fill>
      <patternFill patternType="solid">
        <fgColor rgb="FFFF0000"/>
        <bgColor rgb="FFFF0000"/>
      </patternFill>
    </fill>
    <fill>
      <patternFill patternType="solid">
        <fgColor rgb="FFFF7979"/>
        <bgColor rgb="FFFF7979"/>
      </patternFill>
    </fill>
    <fill>
      <patternFill patternType="solid">
        <fgColor rgb="FFFFFF00"/>
        <bgColor rgb="FFFFFF00"/>
      </patternFill>
    </fill>
    <fill>
      <patternFill patternType="solid">
        <fgColor rgb="FFFFD965"/>
        <bgColor rgb="FFFFD965"/>
      </patternFill>
    </fill>
    <fill>
      <patternFill patternType="solid">
        <fgColor rgb="FF2F5496"/>
        <bgColor rgb="FF2F5496"/>
      </patternFill>
    </fill>
    <fill>
      <patternFill patternType="solid">
        <fgColor rgb="FFB4C6E7"/>
        <bgColor rgb="FFB4C6E7"/>
      </patternFill>
    </fill>
    <fill>
      <patternFill patternType="solid">
        <fgColor rgb="FFBDD6EE"/>
        <bgColor rgb="FFBDD6EE"/>
      </patternFill>
    </fill>
    <fill>
      <patternFill patternType="solid">
        <fgColor theme="4" tint="0.3999755851924192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rgb="FFFF0000"/>
        <bgColor indexed="64"/>
      </patternFill>
    </fill>
    <fill>
      <patternFill patternType="solid">
        <fgColor rgb="FFCC3300"/>
        <bgColor indexed="64"/>
      </patternFill>
    </fill>
    <fill>
      <patternFill patternType="solid">
        <fgColor rgb="FF92D050"/>
        <bgColor indexed="64"/>
      </patternFill>
    </fill>
    <fill>
      <patternFill patternType="solid">
        <fgColor theme="2" tint="-0.249977111117893"/>
        <bgColor indexed="64"/>
      </patternFill>
    </fill>
  </fills>
  <borders count="69">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right/>
      <top style="thin">
        <color rgb="FF000000"/>
      </top>
      <bottom style="thin">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ck">
        <color rgb="FF000000"/>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ck">
        <color indexed="64"/>
      </right>
      <top style="thin">
        <color indexed="64"/>
      </top>
      <bottom style="thin">
        <color indexed="64"/>
      </bottom>
      <diagonal/>
    </border>
    <border>
      <left style="thin">
        <color indexed="64"/>
      </left>
      <right style="thick">
        <color indexed="64"/>
      </right>
      <top style="thin">
        <color indexed="64"/>
      </top>
      <bottom style="thick">
        <color indexed="64"/>
      </bottom>
      <diagonal/>
    </border>
    <border>
      <left style="thin">
        <color indexed="64"/>
      </left>
      <right style="thick">
        <color indexed="64"/>
      </right>
      <top/>
      <bottom style="thin">
        <color indexed="64"/>
      </bottom>
      <diagonal/>
    </border>
    <border>
      <left style="thin">
        <color indexed="64"/>
      </left>
      <right style="thick">
        <color indexed="64"/>
      </right>
      <top style="thick">
        <color indexed="64"/>
      </top>
      <bottom style="thick">
        <color indexed="64"/>
      </bottom>
      <diagonal/>
    </border>
    <border>
      <left style="thick">
        <color indexed="64"/>
      </left>
      <right style="thick">
        <color indexed="64"/>
      </right>
      <top style="thin">
        <color indexed="64"/>
      </top>
      <bottom style="thick">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ck">
        <color indexed="64"/>
      </left>
      <right style="thick">
        <color indexed="64"/>
      </right>
      <top style="thick">
        <color indexed="64"/>
      </top>
      <bottom style="thick">
        <color indexed="64"/>
      </bottom>
      <diagonal/>
    </border>
    <border>
      <left style="thin">
        <color rgb="FF000000"/>
      </left>
      <right style="thick">
        <color auto="1"/>
      </right>
      <top style="thin">
        <color rgb="FF000000"/>
      </top>
      <bottom style="thick">
        <color rgb="FF000000"/>
      </bottom>
      <diagonal/>
    </border>
    <border>
      <left style="thin">
        <color rgb="FF000000"/>
      </left>
      <right style="thick">
        <color auto="1"/>
      </right>
      <top/>
      <bottom style="thin">
        <color rgb="FF000000"/>
      </bottom>
      <diagonal/>
    </border>
    <border>
      <left style="thin">
        <color rgb="FF000000"/>
      </left>
      <right style="thick">
        <color auto="1"/>
      </right>
      <top style="thin">
        <color rgb="FF000000"/>
      </top>
      <bottom style="thin">
        <color rgb="FF000000"/>
      </bottom>
      <diagonal/>
    </border>
    <border>
      <left/>
      <right style="thick">
        <color auto="1"/>
      </right>
      <top/>
      <bottom style="thick">
        <color rgb="FF000000"/>
      </bottom>
      <diagonal/>
    </border>
    <border>
      <left style="thin">
        <color rgb="FF000000"/>
      </left>
      <right style="thin">
        <color rgb="FF000000"/>
      </right>
      <top/>
      <bottom style="thick">
        <color rgb="FF000000"/>
      </bottom>
      <diagonal/>
    </border>
    <border>
      <left style="thin">
        <color rgb="FF000000"/>
      </left>
      <right style="thick">
        <color auto="1"/>
      </right>
      <top/>
      <bottom style="thick">
        <color rgb="FF000000"/>
      </bottom>
      <diagonal/>
    </border>
    <border>
      <left/>
      <right/>
      <top/>
      <bottom style="thick">
        <color rgb="FF000000"/>
      </bottom>
      <diagonal/>
    </border>
    <border>
      <left style="thin">
        <color indexed="64"/>
      </left>
      <right style="thin">
        <color indexed="64"/>
      </right>
      <top/>
      <bottom/>
      <diagonal/>
    </border>
    <border>
      <left style="thin">
        <color indexed="64"/>
      </left>
      <right style="thick">
        <color indexed="64"/>
      </right>
      <top style="thin">
        <color indexed="64"/>
      </top>
      <bottom/>
      <diagonal/>
    </border>
    <border>
      <left style="thin">
        <color rgb="FF000000"/>
      </left>
      <right/>
      <top style="thin">
        <color rgb="FF000000"/>
      </top>
      <bottom style="thick">
        <color rgb="FF000000"/>
      </bottom>
      <diagonal/>
    </border>
    <border>
      <left style="thin">
        <color rgb="FF000000"/>
      </left>
      <right/>
      <top/>
      <bottom/>
      <diagonal/>
    </border>
    <border>
      <left style="thin">
        <color indexed="64"/>
      </left>
      <right style="thin">
        <color indexed="64"/>
      </right>
      <top style="thin">
        <color indexed="64"/>
      </top>
      <bottom style="thick">
        <color indexed="64"/>
      </bottom>
      <diagonal/>
    </border>
    <border>
      <left style="thick">
        <color indexed="64"/>
      </left>
      <right style="thin">
        <color indexed="64"/>
      </right>
      <top/>
      <bottom/>
      <diagonal/>
    </border>
    <border>
      <left/>
      <right style="thin">
        <color rgb="FF000000"/>
      </right>
      <top style="thin">
        <color rgb="FF000000"/>
      </top>
      <bottom style="thick">
        <color indexed="64"/>
      </bottom>
      <diagonal/>
    </border>
    <border>
      <left style="thin">
        <color rgb="FF000000"/>
      </left>
      <right style="thin">
        <color rgb="FF000000"/>
      </right>
      <top style="thin">
        <color rgb="FF000000"/>
      </top>
      <bottom style="thick">
        <color indexed="64"/>
      </bottom>
      <diagonal/>
    </border>
    <border>
      <left/>
      <right/>
      <top style="thick">
        <color indexed="64"/>
      </top>
      <bottom style="thin">
        <color rgb="FF000000"/>
      </bottom>
      <diagonal/>
    </border>
    <border>
      <left style="thin">
        <color indexed="64"/>
      </left>
      <right style="thin">
        <color indexed="64"/>
      </right>
      <top style="thick">
        <color indexed="64"/>
      </top>
      <bottom style="thin">
        <color indexed="64"/>
      </bottom>
      <diagonal/>
    </border>
    <border>
      <left/>
      <right/>
      <top style="thin">
        <color rgb="FF000000"/>
      </top>
      <bottom style="thick">
        <color indexed="64"/>
      </bottom>
      <diagonal/>
    </border>
    <border>
      <left/>
      <right style="thin">
        <color rgb="FF000000"/>
      </right>
      <top/>
      <bottom style="thin">
        <color rgb="FF000000"/>
      </bottom>
      <diagonal/>
    </border>
    <border>
      <left style="thick">
        <color indexed="64"/>
      </left>
      <right/>
      <top/>
      <bottom/>
      <diagonal/>
    </border>
    <border>
      <left style="thick">
        <color auto="1"/>
      </left>
      <right style="thin">
        <color indexed="64"/>
      </right>
      <top style="thick">
        <color auto="1"/>
      </top>
      <bottom style="thin">
        <color indexed="64"/>
      </bottom>
      <diagonal/>
    </border>
    <border>
      <left/>
      <right style="thin">
        <color rgb="FF000000"/>
      </right>
      <top style="thick">
        <color auto="1"/>
      </top>
      <bottom style="thin">
        <color rgb="FF000000"/>
      </bottom>
      <diagonal/>
    </border>
    <border>
      <left style="thin">
        <color rgb="FF000000"/>
      </left>
      <right/>
      <top style="thick">
        <color auto="1"/>
      </top>
      <bottom style="thin">
        <color rgb="FF000000"/>
      </bottom>
      <diagonal/>
    </border>
    <border>
      <left/>
      <right style="thick">
        <color auto="1"/>
      </right>
      <top style="thick">
        <color auto="1"/>
      </top>
      <bottom style="thin">
        <color rgb="FF000000"/>
      </bottom>
      <diagonal/>
    </border>
    <border>
      <left style="thick">
        <color auto="1"/>
      </left>
      <right style="thin">
        <color rgb="FF000000"/>
      </right>
      <top/>
      <bottom style="thick">
        <color rgb="FF000000"/>
      </bottom>
      <diagonal/>
    </border>
    <border>
      <left style="thick">
        <color auto="1"/>
      </left>
      <right style="thin">
        <color indexed="64"/>
      </right>
      <top/>
      <bottom style="thick">
        <color indexed="64"/>
      </bottom>
      <diagonal/>
    </border>
    <border>
      <left style="thin">
        <color rgb="FF000000"/>
      </left>
      <right style="thick">
        <color auto="1"/>
      </right>
      <top style="thin">
        <color rgb="FF000000"/>
      </top>
      <bottom style="thick">
        <color indexed="64"/>
      </bottom>
      <diagonal/>
    </border>
    <border>
      <left style="thick">
        <color auto="1"/>
      </left>
      <right style="thin">
        <color indexed="64"/>
      </right>
      <top style="thick">
        <color indexed="64"/>
      </top>
      <bottom/>
      <diagonal/>
    </border>
    <border>
      <left style="thin">
        <color rgb="FF000000"/>
      </left>
      <right style="thin">
        <color rgb="FF000000"/>
      </right>
      <top/>
      <bottom style="thick">
        <color auto="1"/>
      </bottom>
      <diagonal/>
    </border>
    <border>
      <left style="thin">
        <color rgb="FF000000"/>
      </left>
      <right style="thick">
        <color auto="1"/>
      </right>
      <top/>
      <bottom style="thick">
        <color auto="1"/>
      </bottom>
      <diagonal/>
    </border>
    <border>
      <left style="thick">
        <color rgb="FF000000"/>
      </left>
      <right style="thin">
        <color rgb="FF000000"/>
      </right>
      <top style="thick">
        <color indexed="64"/>
      </top>
      <bottom style="thick">
        <color auto="1"/>
      </bottom>
      <diagonal/>
    </border>
    <border>
      <left/>
      <right style="thick">
        <color rgb="FF000000"/>
      </right>
      <top style="thick">
        <color indexed="64"/>
      </top>
      <bottom/>
      <diagonal/>
    </border>
    <border>
      <left style="thin">
        <color rgb="FF000000"/>
      </left>
      <right style="thick">
        <color rgb="FF000000"/>
      </right>
      <top style="thick">
        <color indexed="64"/>
      </top>
      <bottom style="thick">
        <color rgb="FF000000"/>
      </bottom>
      <diagonal/>
    </border>
    <border>
      <left style="thin">
        <color rgb="FF000000"/>
      </left>
      <right style="thin">
        <color rgb="FF000000"/>
      </right>
      <top style="thick">
        <color indexed="64"/>
      </top>
      <bottom style="thick">
        <color rgb="FF000000"/>
      </bottom>
      <diagonal/>
    </border>
    <border>
      <left style="thin">
        <color rgb="FF000000"/>
      </left>
      <right style="thin">
        <color rgb="FF000000"/>
      </right>
      <top style="thick">
        <color rgb="FF000000"/>
      </top>
      <bottom style="thick">
        <color rgb="FF000000"/>
      </bottom>
      <diagonal/>
    </border>
    <border>
      <left style="thin">
        <color rgb="FF000000"/>
      </left>
      <right style="thick">
        <color rgb="FF000000"/>
      </right>
      <top style="thick">
        <color rgb="FF000000"/>
      </top>
      <bottom style="thin">
        <color rgb="FF000000"/>
      </bottom>
      <diagonal/>
    </border>
    <border>
      <left style="thin">
        <color rgb="FF000000"/>
      </left>
      <right style="thin">
        <color indexed="64"/>
      </right>
      <top style="thin">
        <color rgb="FF000000"/>
      </top>
      <bottom style="thin">
        <color indexed="64"/>
      </bottom>
      <diagonal/>
    </border>
    <border>
      <left style="thin">
        <color indexed="64"/>
      </left>
      <right style="thin">
        <color indexed="64"/>
      </right>
      <top style="thick">
        <color indexed="64"/>
      </top>
      <bottom/>
      <diagonal/>
    </border>
    <border>
      <left style="thin">
        <color indexed="64"/>
      </left>
      <right style="thick">
        <color auto="1"/>
      </right>
      <top style="thick">
        <color indexed="64"/>
      </top>
      <bottom/>
      <diagonal/>
    </border>
    <border>
      <left style="thin">
        <color rgb="FF000000"/>
      </left>
      <right style="thick">
        <color rgb="FF000000"/>
      </right>
      <top style="thin">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ck">
        <color indexed="64"/>
      </left>
      <right style="thick">
        <color indexed="64"/>
      </right>
      <top style="thin">
        <color indexed="64"/>
      </top>
      <bottom/>
      <diagonal/>
    </border>
    <border>
      <left/>
      <right/>
      <top/>
      <bottom style="thin">
        <color indexed="64"/>
      </bottom>
      <diagonal/>
    </border>
  </borders>
  <cellStyleXfs count="1">
    <xf numFmtId="0" fontId="0" fillId="0" borderId="0"/>
  </cellStyleXfs>
  <cellXfs count="203">
    <xf numFmtId="0" fontId="0" fillId="0" borderId="0" xfId="0"/>
    <xf numFmtId="49" fontId="5" fillId="0" borderId="0" xfId="0" applyNumberFormat="1" applyFont="1"/>
    <xf numFmtId="0" fontId="8" fillId="5" borderId="2" xfId="0" applyFont="1" applyFill="1" applyBorder="1"/>
    <xf numFmtId="164" fontId="5" fillId="0" borderId="2" xfId="0" applyNumberFormat="1" applyFont="1" applyBorder="1"/>
    <xf numFmtId="0" fontId="8" fillId="4" borderId="2" xfId="0" applyFont="1" applyFill="1" applyBorder="1"/>
    <xf numFmtId="0" fontId="10" fillId="0" borderId="0" xfId="0" applyFont="1"/>
    <xf numFmtId="0" fontId="5" fillId="0" borderId="0" xfId="0" applyFont="1" applyAlignment="1">
      <alignment horizontal="center" vertical="center"/>
    </xf>
    <xf numFmtId="165" fontId="13" fillId="0" borderId="5" xfId="0" applyNumberFormat="1" applyFont="1" applyBorder="1" applyAlignment="1">
      <alignment horizontal="center" vertical="center"/>
    </xf>
    <xf numFmtId="0" fontId="13" fillId="0" borderId="5" xfId="0" applyFont="1" applyBorder="1" applyAlignment="1">
      <alignment horizontal="center" vertical="center"/>
    </xf>
    <xf numFmtId="0" fontId="5" fillId="0" borderId="5" xfId="0" applyFont="1" applyBorder="1" applyAlignment="1">
      <alignment horizontal="center" vertical="center"/>
    </xf>
    <xf numFmtId="0" fontId="8" fillId="5" borderId="1" xfId="0" applyFont="1" applyFill="1" applyBorder="1" applyAlignment="1">
      <alignment horizontal="center" vertical="center"/>
    </xf>
    <xf numFmtId="165" fontId="13" fillId="0" borderId="1" xfId="0" applyNumberFormat="1" applyFont="1" applyBorder="1" applyAlignment="1">
      <alignment horizontal="center" vertical="center"/>
    </xf>
    <xf numFmtId="0" fontId="5" fillId="0" borderId="1" xfId="0" applyFont="1" applyBorder="1" applyAlignment="1">
      <alignment horizontal="center" vertical="center"/>
    </xf>
    <xf numFmtId="0" fontId="13" fillId="0" borderId="1" xfId="0" applyFont="1" applyBorder="1" applyAlignment="1">
      <alignment horizontal="center" vertical="center"/>
    </xf>
    <xf numFmtId="0" fontId="8" fillId="6" borderId="1" xfId="0" applyFont="1" applyFill="1" applyBorder="1" applyAlignment="1">
      <alignment horizontal="center" vertical="center"/>
    </xf>
    <xf numFmtId="166" fontId="5" fillId="7" borderId="1" xfId="0" applyNumberFormat="1" applyFont="1" applyFill="1" applyBorder="1" applyAlignment="1">
      <alignment horizontal="center" vertical="center"/>
    </xf>
    <xf numFmtId="0" fontId="5" fillId="7" borderId="1" xfId="0" applyFont="1" applyFill="1" applyBorder="1" applyAlignment="1">
      <alignment horizontal="center" vertical="center"/>
    </xf>
    <xf numFmtId="167" fontId="13" fillId="0" borderId="1" xfId="0" applyNumberFormat="1" applyFont="1" applyBorder="1" applyAlignment="1">
      <alignment horizontal="center" vertical="center"/>
    </xf>
    <xf numFmtId="0" fontId="8" fillId="8" borderId="1" xfId="0" applyFont="1" applyFill="1" applyBorder="1" applyAlignment="1">
      <alignment horizontal="center" vertical="center"/>
    </xf>
    <xf numFmtId="166" fontId="5" fillId="9" borderId="1" xfId="0" applyNumberFormat="1" applyFont="1" applyFill="1" applyBorder="1" applyAlignment="1">
      <alignment horizontal="center" vertical="center"/>
    </xf>
    <xf numFmtId="0" fontId="5" fillId="9" borderId="1" xfId="0" applyFont="1" applyFill="1" applyBorder="1" applyAlignment="1">
      <alignment horizontal="center" vertical="center"/>
    </xf>
    <xf numFmtId="0" fontId="8" fillId="10" borderId="1" xfId="0" applyFont="1" applyFill="1" applyBorder="1" applyAlignment="1">
      <alignment horizontal="center" vertical="center"/>
    </xf>
    <xf numFmtId="166" fontId="5" fillId="11" borderId="1" xfId="0" applyNumberFormat="1" applyFont="1" applyFill="1" applyBorder="1" applyAlignment="1">
      <alignment horizontal="center" vertical="center"/>
    </xf>
    <xf numFmtId="165" fontId="13" fillId="0" borderId="4" xfId="0" applyNumberFormat="1" applyFont="1" applyBorder="1" applyAlignment="1">
      <alignment horizontal="center" vertical="center"/>
    </xf>
    <xf numFmtId="0" fontId="5" fillId="0" borderId="4" xfId="0" applyFont="1" applyBorder="1" applyAlignment="1">
      <alignment horizontal="center" vertical="center"/>
    </xf>
    <xf numFmtId="0" fontId="13" fillId="0" borderId="4" xfId="0" applyFont="1" applyBorder="1" applyAlignment="1">
      <alignment horizontal="center" vertical="center"/>
    </xf>
    <xf numFmtId="0" fontId="8" fillId="12" borderId="1" xfId="0" applyFont="1" applyFill="1" applyBorder="1" applyAlignment="1">
      <alignment horizontal="center" vertical="center"/>
    </xf>
    <xf numFmtId="166" fontId="5" fillId="13" borderId="1" xfId="0" applyNumberFormat="1" applyFont="1" applyFill="1" applyBorder="1" applyAlignment="1">
      <alignment horizontal="center" vertical="center"/>
    </xf>
    <xf numFmtId="0" fontId="5" fillId="13" borderId="1" xfId="0" applyFont="1" applyFill="1" applyBorder="1" applyAlignment="1">
      <alignment horizontal="center" vertical="center"/>
    </xf>
    <xf numFmtId="0" fontId="10" fillId="14" borderId="1" xfId="0" applyFont="1" applyFill="1" applyBorder="1" applyAlignment="1">
      <alignment horizontal="center" vertical="center"/>
    </xf>
    <xf numFmtId="166" fontId="5" fillId="15" borderId="1" xfId="0" applyNumberFormat="1" applyFont="1" applyFill="1" applyBorder="1" applyAlignment="1">
      <alignment horizontal="center" vertical="center"/>
    </xf>
    <xf numFmtId="0" fontId="5" fillId="15" borderId="1" xfId="0" applyFont="1" applyFill="1" applyBorder="1" applyAlignment="1">
      <alignment horizontal="center" vertical="center"/>
    </xf>
    <xf numFmtId="0" fontId="8" fillId="16" borderId="1" xfId="0" applyFont="1" applyFill="1" applyBorder="1" applyAlignment="1">
      <alignment horizontal="center" vertical="center"/>
    </xf>
    <xf numFmtId="166" fontId="5" fillId="17" borderId="1" xfId="0" applyNumberFormat="1" applyFont="1" applyFill="1" applyBorder="1" applyAlignment="1">
      <alignment horizontal="center" vertical="center"/>
    </xf>
    <xf numFmtId="0" fontId="5" fillId="17" borderId="1" xfId="0" applyFont="1" applyFill="1" applyBorder="1" applyAlignment="1">
      <alignment horizontal="center" vertical="center"/>
    </xf>
    <xf numFmtId="166" fontId="5" fillId="0" borderId="0" xfId="0" applyNumberFormat="1" applyFont="1" applyAlignment="1">
      <alignment horizontal="center" vertical="center"/>
    </xf>
    <xf numFmtId="166" fontId="5" fillId="0" borderId="1" xfId="0" applyNumberFormat="1" applyFont="1" applyBorder="1" applyAlignment="1">
      <alignment horizontal="center" vertical="center"/>
    </xf>
    <xf numFmtId="0" fontId="5" fillId="18" borderId="1" xfId="0" applyFont="1" applyFill="1" applyBorder="1" applyAlignment="1">
      <alignment horizontal="center" vertical="center"/>
    </xf>
    <xf numFmtId="0" fontId="13" fillId="0" borderId="8" xfId="0" applyFont="1" applyBorder="1" applyAlignment="1">
      <alignment horizontal="center" vertical="center"/>
    </xf>
    <xf numFmtId="49" fontId="5" fillId="4" borderId="10" xfId="0" applyNumberFormat="1" applyFont="1" applyFill="1" applyBorder="1"/>
    <xf numFmtId="0" fontId="5" fillId="4" borderId="11" xfId="0" applyFont="1" applyFill="1" applyBorder="1"/>
    <xf numFmtId="0" fontId="5" fillId="4" borderId="12" xfId="0" applyFont="1" applyFill="1" applyBorder="1"/>
    <xf numFmtId="49" fontId="6" fillId="5" borderId="13" xfId="0" applyNumberFormat="1" applyFont="1" applyFill="1" applyBorder="1" applyAlignment="1">
      <alignment horizontal="center"/>
    </xf>
    <xf numFmtId="0" fontId="7" fillId="5" borderId="9" xfId="0" applyFont="1" applyFill="1" applyBorder="1" applyAlignment="1">
      <alignment horizontal="center"/>
    </xf>
    <xf numFmtId="0" fontId="6" fillId="5" borderId="9" xfId="0" applyFont="1" applyFill="1" applyBorder="1" applyAlignment="1">
      <alignment horizontal="center"/>
    </xf>
    <xf numFmtId="0" fontId="6" fillId="5" borderId="14" xfId="0" applyFont="1" applyFill="1" applyBorder="1" applyAlignment="1">
      <alignment horizontal="center"/>
    </xf>
    <xf numFmtId="0" fontId="7" fillId="5" borderId="9" xfId="0" applyFont="1" applyFill="1" applyBorder="1" applyAlignment="1">
      <alignment horizontal="center" vertical="center" wrapText="1"/>
    </xf>
    <xf numFmtId="49" fontId="5" fillId="3" borderId="13" xfId="0" applyNumberFormat="1" applyFont="1" applyFill="1" applyBorder="1" applyAlignment="1">
      <alignment horizontal="center"/>
    </xf>
    <xf numFmtId="0" fontId="9" fillId="3" borderId="9" xfId="0" applyFont="1" applyFill="1" applyBorder="1" applyAlignment="1">
      <alignment horizontal="center" vertical="center" wrapText="1"/>
    </xf>
    <xf numFmtId="0" fontId="5" fillId="3" borderId="9" xfId="0" applyFont="1" applyFill="1" applyBorder="1" applyAlignment="1">
      <alignment horizontal="center"/>
    </xf>
    <xf numFmtId="0" fontId="5" fillId="3" borderId="14" xfId="0" applyFont="1" applyFill="1" applyBorder="1" applyAlignment="1">
      <alignment horizontal="center"/>
    </xf>
    <xf numFmtId="49" fontId="8" fillId="4" borderId="15" xfId="0" applyNumberFormat="1" applyFont="1" applyFill="1" applyBorder="1" applyAlignment="1">
      <alignment horizontal="center"/>
    </xf>
    <xf numFmtId="49" fontId="8" fillId="4" borderId="16" xfId="0" applyNumberFormat="1" applyFont="1" applyFill="1" applyBorder="1" applyAlignment="1">
      <alignment horizontal="center"/>
    </xf>
    <xf numFmtId="0" fontId="8" fillId="4" borderId="16" xfId="0" applyFont="1" applyFill="1" applyBorder="1" applyAlignment="1">
      <alignment horizontal="center"/>
    </xf>
    <xf numFmtId="0" fontId="8" fillId="4" borderId="17" xfId="0" applyFont="1" applyFill="1" applyBorder="1" applyAlignment="1">
      <alignment horizontal="center"/>
    </xf>
    <xf numFmtId="0" fontId="5" fillId="11" borderId="6" xfId="0" applyFont="1" applyFill="1" applyBorder="1" applyAlignment="1">
      <alignment horizontal="center" vertical="center"/>
    </xf>
    <xf numFmtId="0" fontId="5" fillId="0" borderId="11" xfId="0" applyFont="1" applyBorder="1" applyAlignment="1">
      <alignment horizontal="center" vertical="center"/>
    </xf>
    <xf numFmtId="0" fontId="13" fillId="0" borderId="11" xfId="0" applyFont="1" applyBorder="1" applyAlignment="1">
      <alignment horizontal="center" vertical="center"/>
    </xf>
    <xf numFmtId="0" fontId="14" fillId="0" borderId="11" xfId="0" applyFont="1" applyBorder="1" applyAlignment="1">
      <alignment horizontal="center" vertical="center"/>
    </xf>
    <xf numFmtId="165" fontId="13" fillId="0" borderId="11" xfId="0" applyNumberFormat="1" applyFont="1" applyBorder="1" applyAlignment="1">
      <alignment horizontal="center" vertical="center"/>
    </xf>
    <xf numFmtId="166" fontId="14" fillId="0" borderId="1" xfId="0" applyNumberFormat="1" applyFont="1" applyBorder="1" applyAlignment="1">
      <alignment horizontal="center" vertical="center"/>
    </xf>
    <xf numFmtId="0" fontId="5" fillId="0" borderId="9" xfId="0" applyFont="1" applyBorder="1" applyAlignment="1">
      <alignment horizontal="center" vertical="center"/>
    </xf>
    <xf numFmtId="0" fontId="5" fillId="3" borderId="18" xfId="0" applyFont="1" applyFill="1" applyBorder="1"/>
    <xf numFmtId="0" fontId="5" fillId="0" borderId="18" xfId="0" applyFont="1" applyBorder="1"/>
    <xf numFmtId="0" fontId="5" fillId="0" borderId="19" xfId="0" applyFont="1" applyBorder="1"/>
    <xf numFmtId="0" fontId="5" fillId="3" borderId="20" xfId="0" applyFont="1" applyFill="1" applyBorder="1"/>
    <xf numFmtId="0" fontId="5" fillId="0" borderId="24" xfId="0" applyFont="1" applyBorder="1"/>
    <xf numFmtId="0" fontId="5" fillId="3" borderId="24" xfId="0" applyFont="1" applyFill="1" applyBorder="1"/>
    <xf numFmtId="0" fontId="17" fillId="2" borderId="19" xfId="0" applyFont="1" applyFill="1" applyBorder="1" applyAlignment="1">
      <alignment horizontal="center"/>
    </xf>
    <xf numFmtId="0" fontId="17" fillId="2" borderId="22" xfId="0" applyFont="1" applyFill="1" applyBorder="1" applyAlignment="1">
      <alignment horizontal="center"/>
    </xf>
    <xf numFmtId="0" fontId="4" fillId="0" borderId="0" xfId="0" applyFont="1"/>
    <xf numFmtId="0" fontId="5" fillId="0" borderId="7" xfId="0" applyFont="1" applyBorder="1" applyAlignment="1">
      <alignment horizontal="center" vertical="center"/>
    </xf>
    <xf numFmtId="0" fontId="5" fillId="18" borderId="7" xfId="0" applyFont="1" applyFill="1" applyBorder="1" applyAlignment="1">
      <alignment horizontal="center" vertical="center"/>
    </xf>
    <xf numFmtId="0" fontId="5" fillId="18" borderId="5" xfId="0" applyFont="1" applyFill="1" applyBorder="1" applyAlignment="1">
      <alignment horizontal="center" vertical="center"/>
    </xf>
    <xf numFmtId="0" fontId="5" fillId="18" borderId="4" xfId="0" applyFont="1" applyFill="1" applyBorder="1" applyAlignment="1">
      <alignment horizontal="center" vertical="center"/>
    </xf>
    <xf numFmtId="0" fontId="13" fillId="0" borderId="27" xfId="0" applyFont="1" applyBorder="1" applyAlignment="1">
      <alignment horizontal="center" vertical="center"/>
    </xf>
    <xf numFmtId="0" fontId="13" fillId="0" borderId="28" xfId="0" applyFont="1" applyBorder="1" applyAlignment="1">
      <alignment horizontal="center" vertical="center"/>
    </xf>
    <xf numFmtId="0" fontId="13" fillId="0" borderId="26" xfId="0" applyFont="1" applyBorder="1" applyAlignment="1">
      <alignment horizontal="center" vertical="center"/>
    </xf>
    <xf numFmtId="0" fontId="5" fillId="0" borderId="20" xfId="0" applyFont="1" applyBorder="1" applyAlignment="1">
      <alignment horizontal="center" vertical="center"/>
    </xf>
    <xf numFmtId="0" fontId="5" fillId="0" borderId="18" xfId="0" applyFont="1" applyBorder="1" applyAlignment="1">
      <alignment horizontal="center" vertical="center"/>
    </xf>
    <xf numFmtId="0" fontId="12" fillId="5" borderId="30" xfId="0" applyFont="1" applyFill="1" applyBorder="1" applyAlignment="1">
      <alignment horizontal="center" vertical="center"/>
    </xf>
    <xf numFmtId="0" fontId="12" fillId="5" borderId="31" xfId="0" applyFont="1" applyFill="1" applyBorder="1" applyAlignment="1">
      <alignment horizontal="center" vertical="center"/>
    </xf>
    <xf numFmtId="166" fontId="14" fillId="20" borderId="1" xfId="0" applyNumberFormat="1" applyFont="1" applyFill="1" applyBorder="1" applyAlignment="1">
      <alignment horizontal="center" vertical="center"/>
    </xf>
    <xf numFmtId="0" fontId="5" fillId="20" borderId="1" xfId="0" applyFont="1" applyFill="1" applyBorder="1" applyAlignment="1">
      <alignment horizontal="center" vertical="center"/>
    </xf>
    <xf numFmtId="166" fontId="5" fillId="20" borderId="1" xfId="0" applyNumberFormat="1" applyFont="1" applyFill="1" applyBorder="1" applyAlignment="1">
      <alignment horizontal="center" vertical="center"/>
    </xf>
    <xf numFmtId="0" fontId="16" fillId="22" borderId="9" xfId="0" applyFont="1" applyFill="1" applyBorder="1" applyAlignment="1">
      <alignment horizontal="center" vertical="center"/>
    </xf>
    <xf numFmtId="0" fontId="0" fillId="0" borderId="9" xfId="0" applyBorder="1" applyAlignment="1">
      <alignment horizontal="center" vertical="center"/>
    </xf>
    <xf numFmtId="0" fontId="4" fillId="0" borderId="9" xfId="0" applyFont="1" applyBorder="1" applyAlignment="1">
      <alignment horizontal="center" vertical="center"/>
    </xf>
    <xf numFmtId="0" fontId="0" fillId="21" borderId="9" xfId="0" applyFill="1" applyBorder="1" applyAlignment="1">
      <alignment horizontal="center" vertical="center"/>
    </xf>
    <xf numFmtId="0" fontId="0" fillId="22" borderId="9" xfId="0" applyFill="1" applyBorder="1" applyAlignment="1">
      <alignment horizontal="center" vertical="center"/>
    </xf>
    <xf numFmtId="0" fontId="0" fillId="19" borderId="9" xfId="0" applyFill="1" applyBorder="1" applyAlignment="1">
      <alignment horizontal="center" vertical="center"/>
    </xf>
    <xf numFmtId="0" fontId="14" fillId="0" borderId="16" xfId="0" applyFont="1" applyBorder="1" applyAlignment="1">
      <alignment horizontal="center" vertical="center"/>
    </xf>
    <xf numFmtId="0" fontId="5" fillId="0" borderId="16" xfId="0" applyFont="1" applyBorder="1" applyAlignment="1">
      <alignment horizontal="center" vertical="center"/>
    </xf>
    <xf numFmtId="0" fontId="13" fillId="0" borderId="33" xfId="0" applyFont="1" applyBorder="1" applyAlignment="1">
      <alignment horizontal="center" vertical="center"/>
    </xf>
    <xf numFmtId="0" fontId="5" fillId="0" borderId="34" xfId="0" applyFont="1" applyBorder="1" applyAlignment="1">
      <alignment horizontal="center" vertical="center"/>
    </xf>
    <xf numFmtId="0" fontId="5" fillId="0" borderId="35" xfId="0" applyFont="1" applyBorder="1" applyAlignment="1">
      <alignment horizontal="center" vertical="center"/>
    </xf>
    <xf numFmtId="0" fontId="18"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3" fillId="0" borderId="36" xfId="0" applyFont="1" applyBorder="1" applyAlignment="1">
      <alignment horizontal="center" vertical="center"/>
    </xf>
    <xf numFmtId="0" fontId="3" fillId="0" borderId="0" xfId="0" applyFont="1" applyAlignment="1">
      <alignment horizontal="center" vertical="center" wrapText="1"/>
    </xf>
    <xf numFmtId="0" fontId="3" fillId="23" borderId="37" xfId="0" applyFont="1" applyFill="1" applyBorder="1" applyAlignment="1">
      <alignment horizontal="center" vertical="center" wrapText="1"/>
    </xf>
    <xf numFmtId="0" fontId="3" fillId="23" borderId="19" xfId="0" applyFont="1" applyFill="1" applyBorder="1" applyAlignment="1">
      <alignment horizontal="center" vertical="center" wrapText="1"/>
    </xf>
    <xf numFmtId="0" fontId="5" fillId="20" borderId="3" xfId="0" applyFont="1" applyFill="1" applyBorder="1" applyAlignment="1">
      <alignment horizontal="center" vertical="center"/>
    </xf>
    <xf numFmtId="0" fontId="5" fillId="20" borderId="9" xfId="0" applyFont="1" applyFill="1" applyBorder="1" applyAlignment="1">
      <alignment horizontal="center" vertical="center"/>
    </xf>
    <xf numFmtId="0" fontId="5" fillId="0" borderId="3" xfId="0" applyFont="1" applyBorder="1" applyAlignment="1">
      <alignment horizontal="center" vertical="center"/>
    </xf>
    <xf numFmtId="0" fontId="14" fillId="0" borderId="1" xfId="0" applyFont="1" applyBorder="1" applyAlignment="1">
      <alignment horizontal="center" vertical="center"/>
    </xf>
    <xf numFmtId="0" fontId="14" fillId="18" borderId="1" xfId="0" applyFont="1" applyFill="1" applyBorder="1" applyAlignment="1">
      <alignment horizontal="center" vertical="center"/>
    </xf>
    <xf numFmtId="0" fontId="14" fillId="0" borderId="6" xfId="0" applyFont="1" applyBorder="1" applyAlignment="1">
      <alignment horizontal="center" vertical="center"/>
    </xf>
    <xf numFmtId="0" fontId="5" fillId="0" borderId="39" xfId="0" applyFont="1" applyBorder="1" applyAlignment="1">
      <alignment horizontal="center" vertical="center"/>
    </xf>
    <xf numFmtId="0" fontId="5" fillId="0" borderId="40" xfId="0" applyFont="1" applyBorder="1" applyAlignment="1">
      <alignment horizontal="center" vertical="center"/>
    </xf>
    <xf numFmtId="166" fontId="14" fillId="0" borderId="40" xfId="0" applyNumberFormat="1" applyFont="1" applyBorder="1" applyAlignment="1">
      <alignment horizontal="center" vertical="center"/>
    </xf>
    <xf numFmtId="166" fontId="5" fillId="0" borderId="40" xfId="0" applyNumberFormat="1" applyFont="1" applyBorder="1" applyAlignment="1">
      <alignment horizontal="center" vertical="center"/>
    </xf>
    <xf numFmtId="0" fontId="5" fillId="20" borderId="41" xfId="0" applyFont="1" applyFill="1" applyBorder="1" applyAlignment="1">
      <alignment horizontal="center" vertical="center"/>
    </xf>
    <xf numFmtId="0" fontId="14" fillId="18" borderId="42" xfId="0" applyFont="1" applyFill="1" applyBorder="1" applyAlignment="1">
      <alignment horizontal="center" vertical="center"/>
    </xf>
    <xf numFmtId="0" fontId="5" fillId="20" borderId="43" xfId="0" applyFont="1" applyFill="1" applyBorder="1" applyAlignment="1">
      <alignment horizontal="center" vertical="center"/>
    </xf>
    <xf numFmtId="0" fontId="3" fillId="20" borderId="37" xfId="0" applyFont="1" applyFill="1" applyBorder="1" applyAlignment="1">
      <alignment horizontal="center"/>
    </xf>
    <xf numFmtId="0" fontId="0" fillId="20" borderId="37" xfId="0" applyFill="1" applyBorder="1"/>
    <xf numFmtId="0" fontId="5" fillId="0" borderId="44" xfId="0" applyFont="1" applyBorder="1" applyAlignment="1">
      <alignment horizontal="center" vertical="center"/>
    </xf>
    <xf numFmtId="166" fontId="14" fillId="0" borderId="5" xfId="0" applyNumberFormat="1" applyFont="1" applyBorder="1" applyAlignment="1">
      <alignment horizontal="center" vertical="center"/>
    </xf>
    <xf numFmtId="166" fontId="5" fillId="0" borderId="5" xfId="0" applyNumberFormat="1" applyFont="1" applyBorder="1" applyAlignment="1">
      <alignment horizontal="center" vertical="center"/>
    </xf>
    <xf numFmtId="0" fontId="8" fillId="5" borderId="30" xfId="0" applyFont="1" applyFill="1" applyBorder="1" applyAlignment="1">
      <alignment horizontal="center" vertical="center"/>
    </xf>
    <xf numFmtId="0" fontId="8" fillId="5" borderId="4" xfId="0" applyFont="1" applyFill="1" applyBorder="1" applyAlignment="1">
      <alignment horizontal="center" vertical="center"/>
    </xf>
    <xf numFmtId="0" fontId="5" fillId="0" borderId="45" xfId="0" applyFont="1" applyBorder="1" applyAlignment="1">
      <alignment horizontal="center" vertical="center"/>
    </xf>
    <xf numFmtId="0" fontId="8" fillId="5" borderId="50" xfId="0" applyFont="1" applyFill="1" applyBorder="1" applyAlignment="1">
      <alignment horizontal="center" vertical="center"/>
    </xf>
    <xf numFmtId="0" fontId="8" fillId="5" borderId="26" xfId="0" applyFont="1" applyFill="1" applyBorder="1" applyAlignment="1">
      <alignment horizontal="center" vertical="center"/>
    </xf>
    <xf numFmtId="166" fontId="5" fillId="0" borderId="27" xfId="0" applyNumberFormat="1" applyFont="1" applyBorder="1" applyAlignment="1">
      <alignment horizontal="center" vertical="center"/>
    </xf>
    <xf numFmtId="166" fontId="5" fillId="18" borderId="28" xfId="0" applyNumberFormat="1" applyFont="1" applyFill="1" applyBorder="1" applyAlignment="1">
      <alignment horizontal="center" vertical="center"/>
    </xf>
    <xf numFmtId="166" fontId="5" fillId="0" borderId="28" xfId="0" applyNumberFormat="1" applyFont="1" applyBorder="1" applyAlignment="1">
      <alignment horizontal="center" vertical="center"/>
    </xf>
    <xf numFmtId="166" fontId="5" fillId="0" borderId="52" xfId="0" applyNumberFormat="1" applyFont="1" applyBorder="1" applyAlignment="1">
      <alignment horizontal="center" vertical="center"/>
    </xf>
    <xf numFmtId="0" fontId="5" fillId="20" borderId="18" xfId="0" applyFont="1" applyFill="1" applyBorder="1" applyAlignment="1">
      <alignment horizontal="center" vertical="center"/>
    </xf>
    <xf numFmtId="0" fontId="0" fillId="20" borderId="19" xfId="0" applyFill="1" applyBorder="1"/>
    <xf numFmtId="0" fontId="5" fillId="0" borderId="54" xfId="0" applyFont="1" applyBorder="1" applyAlignment="1">
      <alignment horizontal="center" vertical="center"/>
    </xf>
    <xf numFmtId="166" fontId="5" fillId="0" borderId="54" xfId="0" applyNumberFormat="1" applyFont="1" applyBorder="1" applyAlignment="1">
      <alignment horizontal="center" vertical="center"/>
    </xf>
    <xf numFmtId="166" fontId="5" fillId="0" borderId="55" xfId="0" applyNumberFormat="1" applyFont="1" applyBorder="1" applyAlignment="1">
      <alignment horizontal="center" vertical="center"/>
    </xf>
    <xf numFmtId="0" fontId="5" fillId="0" borderId="56" xfId="0" applyFont="1" applyBorder="1" applyAlignment="1">
      <alignment horizontal="center" vertical="center"/>
    </xf>
    <xf numFmtId="0" fontId="5" fillId="0" borderId="57" xfId="0" applyFont="1" applyBorder="1" applyAlignment="1">
      <alignment horizontal="center" vertical="center"/>
    </xf>
    <xf numFmtId="0" fontId="2" fillId="23" borderId="37" xfId="0" applyFont="1" applyFill="1" applyBorder="1" applyAlignment="1">
      <alignment vertical="center" wrapText="1"/>
    </xf>
    <xf numFmtId="0" fontId="2" fillId="23" borderId="37" xfId="0" applyFont="1" applyFill="1" applyBorder="1" applyAlignment="1">
      <alignment horizontal="center" vertical="center" wrapText="1"/>
    </xf>
    <xf numFmtId="0" fontId="13" fillId="0" borderId="37" xfId="0" applyFont="1" applyBorder="1" applyAlignment="1">
      <alignment horizontal="center" vertical="center"/>
    </xf>
    <xf numFmtId="0" fontId="14" fillId="0" borderId="5" xfId="0" applyFont="1" applyBorder="1" applyAlignment="1">
      <alignment horizontal="center" vertical="center"/>
    </xf>
    <xf numFmtId="0" fontId="5" fillId="0" borderId="59" xfId="0" applyFont="1" applyBorder="1" applyAlignment="1">
      <alignment horizontal="center" vertical="center"/>
    </xf>
    <xf numFmtId="0" fontId="14" fillId="0" borderId="59" xfId="0" applyFont="1" applyBorder="1" applyAlignment="1">
      <alignment horizontal="center" vertical="center"/>
    </xf>
    <xf numFmtId="0" fontId="13" fillId="0" borderId="59" xfId="0" applyFont="1" applyBorder="1" applyAlignment="1">
      <alignment horizontal="center" vertical="center"/>
    </xf>
    <xf numFmtId="0" fontId="5" fillId="0" borderId="58" xfId="0" applyFont="1" applyBorder="1" applyAlignment="1">
      <alignment horizontal="center" vertical="center"/>
    </xf>
    <xf numFmtId="0" fontId="14" fillId="0" borderId="60" xfId="0" applyFont="1" applyBorder="1" applyAlignment="1">
      <alignment horizontal="center" vertical="center"/>
    </xf>
    <xf numFmtId="0" fontId="5" fillId="0" borderId="61" xfId="0" applyFont="1" applyBorder="1" applyAlignment="1">
      <alignment horizontal="center" vertical="center"/>
    </xf>
    <xf numFmtId="166" fontId="14" fillId="20" borderId="63" xfId="0" applyNumberFormat="1" applyFont="1" applyFill="1" applyBorder="1" applyAlignment="1">
      <alignment horizontal="center" vertical="center"/>
    </xf>
    <xf numFmtId="166" fontId="14" fillId="0" borderId="62" xfId="0" applyNumberFormat="1" applyFont="1" applyBorder="1" applyAlignment="1">
      <alignment horizontal="center" vertical="center"/>
    </xf>
    <xf numFmtId="0" fontId="14" fillId="20" borderId="63" xfId="0" applyFont="1" applyFill="1" applyBorder="1" applyAlignment="1">
      <alignment horizontal="center" vertical="center"/>
    </xf>
    <xf numFmtId="166" fontId="14" fillId="18" borderId="64" xfId="0" applyNumberFormat="1" applyFont="1" applyFill="1" applyBorder="1" applyAlignment="1">
      <alignment horizontal="center" vertical="center"/>
    </xf>
    <xf numFmtId="0" fontId="14" fillId="0" borderId="9" xfId="0" applyFont="1" applyBorder="1" applyAlignment="1">
      <alignment horizontal="center" vertical="center"/>
    </xf>
    <xf numFmtId="166" fontId="14" fillId="0" borderId="9" xfId="0" applyNumberFormat="1" applyFont="1" applyBorder="1" applyAlignment="1">
      <alignment horizontal="center" vertical="center"/>
    </xf>
    <xf numFmtId="166" fontId="14" fillId="0" borderId="18" xfId="0" applyNumberFormat="1" applyFont="1" applyBorder="1" applyAlignment="1">
      <alignment horizontal="center" vertical="center"/>
    </xf>
    <xf numFmtId="0" fontId="5" fillId="0" borderId="65" xfId="0" applyFont="1" applyBorder="1" applyAlignment="1">
      <alignment horizontal="center" vertical="center"/>
    </xf>
    <xf numFmtId="0" fontId="14" fillId="0" borderId="66" xfId="0" applyFont="1" applyBorder="1" applyAlignment="1">
      <alignment horizontal="center" vertical="center"/>
    </xf>
    <xf numFmtId="0" fontId="14" fillId="3" borderId="23" xfId="0" applyFont="1" applyFill="1" applyBorder="1"/>
    <xf numFmtId="0" fontId="5" fillId="19" borderId="19" xfId="0" applyFont="1" applyFill="1" applyBorder="1"/>
    <xf numFmtId="0" fontId="5" fillId="19" borderId="22" xfId="0" applyFont="1" applyFill="1" applyBorder="1"/>
    <xf numFmtId="0" fontId="5" fillId="0" borderId="20" xfId="0" applyFont="1" applyBorder="1"/>
    <xf numFmtId="0" fontId="0" fillId="0" borderId="23" xfId="0" applyBorder="1"/>
    <xf numFmtId="0" fontId="5" fillId="0" borderId="23" xfId="0" applyFont="1" applyBorder="1"/>
    <xf numFmtId="0" fontId="5" fillId="0" borderId="21" xfId="0" applyFont="1" applyBorder="1"/>
    <xf numFmtId="0" fontId="5" fillId="0" borderId="25" xfId="0" applyFont="1" applyBorder="1"/>
    <xf numFmtId="0" fontId="5" fillId="3" borderId="19" xfId="0" applyFont="1" applyFill="1" applyBorder="1"/>
    <xf numFmtId="0" fontId="14" fillId="0" borderId="24" xfId="0" applyFont="1" applyBorder="1" applyAlignment="1">
      <alignment wrapText="1"/>
    </xf>
    <xf numFmtId="0" fontId="14" fillId="19" borderId="24" xfId="0" applyFont="1" applyFill="1" applyBorder="1"/>
    <xf numFmtId="0" fontId="5" fillId="3" borderId="34" xfId="0" applyFont="1" applyFill="1" applyBorder="1" applyAlignment="1">
      <alignment horizontal="center"/>
    </xf>
    <xf numFmtId="0" fontId="5" fillId="3" borderId="20" xfId="0" applyFont="1" applyFill="1" applyBorder="1" applyAlignment="1">
      <alignment horizontal="center"/>
    </xf>
    <xf numFmtId="0" fontId="5" fillId="19" borderId="67" xfId="0" applyFont="1" applyFill="1" applyBorder="1" applyAlignment="1">
      <alignment horizontal="center"/>
    </xf>
    <xf numFmtId="0" fontId="5" fillId="19" borderId="23" xfId="0" applyFont="1" applyFill="1" applyBorder="1" applyAlignment="1">
      <alignment horizontal="center"/>
    </xf>
    <xf numFmtId="0" fontId="5" fillId="0" borderId="0" xfId="0" applyFont="1" applyAlignment="1">
      <alignment horizontal="center"/>
    </xf>
    <xf numFmtId="0" fontId="0" fillId="0" borderId="0" xfId="0"/>
    <xf numFmtId="0" fontId="5" fillId="20" borderId="53" xfId="0" applyFont="1" applyFill="1" applyBorder="1" applyAlignment="1">
      <alignment horizontal="center" vertical="center"/>
    </xf>
    <xf numFmtId="0" fontId="5" fillId="20" borderId="38" xfId="0" applyFont="1" applyFill="1" applyBorder="1" applyAlignment="1">
      <alignment horizontal="center" vertical="center"/>
    </xf>
    <xf numFmtId="0" fontId="5" fillId="20" borderId="51" xfId="0" applyFont="1" applyFill="1" applyBorder="1" applyAlignment="1">
      <alignment horizontal="center" vertical="center"/>
    </xf>
    <xf numFmtId="0" fontId="8" fillId="5" borderId="46" xfId="0" applyFont="1" applyFill="1" applyBorder="1" applyAlignment="1">
      <alignment horizontal="center" vertical="center"/>
    </xf>
    <xf numFmtId="0" fontId="8" fillId="5" borderId="42" xfId="0" applyFont="1" applyFill="1" applyBorder="1" applyAlignment="1">
      <alignment horizontal="center" vertical="center"/>
    </xf>
    <xf numFmtId="0" fontId="18" fillId="5" borderId="32" xfId="0" applyFont="1" applyFill="1" applyBorder="1" applyAlignment="1">
      <alignment horizontal="center" vertical="center"/>
    </xf>
    <xf numFmtId="0" fontId="18" fillId="5" borderId="29" xfId="0" applyFont="1" applyFill="1" applyBorder="1" applyAlignment="1">
      <alignment horizontal="center" vertical="center"/>
    </xf>
    <xf numFmtId="0" fontId="8" fillId="5" borderId="41" xfId="0" applyFont="1" applyFill="1" applyBorder="1" applyAlignment="1">
      <alignment horizontal="center" vertical="center"/>
    </xf>
    <xf numFmtId="0" fontId="11" fillId="0" borderId="47" xfId="0" applyFont="1" applyBorder="1"/>
    <xf numFmtId="0" fontId="8" fillId="5" borderId="48" xfId="0" applyFont="1" applyFill="1" applyBorder="1" applyAlignment="1">
      <alignment horizontal="center" vertical="center"/>
    </xf>
    <xf numFmtId="0" fontId="11" fillId="0" borderId="49" xfId="0" applyFont="1" applyBorder="1"/>
    <xf numFmtId="0" fontId="0" fillId="0" borderId="0" xfId="0" applyAlignment="1">
      <alignment horizontal="center" wrapText="1"/>
    </xf>
    <xf numFmtId="0" fontId="0" fillId="0" borderId="0" xfId="0" applyAlignment="1">
      <alignment horizontal="center"/>
    </xf>
    <xf numFmtId="0" fontId="0" fillId="0" borderId="0" xfId="0" applyFill="1"/>
    <xf numFmtId="0" fontId="1" fillId="0" borderId="0" xfId="0" applyFont="1"/>
    <xf numFmtId="0" fontId="1" fillId="0" borderId="0" xfId="0" applyFont="1" applyAlignment="1">
      <alignment horizontal="center"/>
    </xf>
    <xf numFmtId="0" fontId="1" fillId="0" borderId="0" xfId="0" applyFont="1" applyAlignment="1">
      <alignment horizontal="center" wrapText="1"/>
    </xf>
    <xf numFmtId="0" fontId="1" fillId="0" borderId="0" xfId="0" applyFont="1" applyAlignment="1">
      <alignment horizontal="center" vertical="center"/>
    </xf>
    <xf numFmtId="0" fontId="0" fillId="0" borderId="0" xfId="0" applyAlignment="1">
      <alignment horizontal="center" vertical="center"/>
    </xf>
    <xf numFmtId="0" fontId="1" fillId="0" borderId="0" xfId="0" applyFont="1" applyAlignment="1">
      <alignment horizontal="center" vertical="center"/>
    </xf>
    <xf numFmtId="0" fontId="0" fillId="0" borderId="9" xfId="0" applyBorder="1"/>
    <xf numFmtId="173" fontId="0" fillId="25" borderId="9" xfId="0" applyNumberFormat="1" applyFill="1" applyBorder="1"/>
    <xf numFmtId="0" fontId="0" fillId="25" borderId="9" xfId="0" applyFill="1" applyBorder="1"/>
    <xf numFmtId="173" fontId="0" fillId="24" borderId="9" xfId="0" applyNumberFormat="1" applyFill="1" applyBorder="1"/>
    <xf numFmtId="0" fontId="0" fillId="24" borderId="9" xfId="0" applyFill="1" applyBorder="1"/>
    <xf numFmtId="173" fontId="0" fillId="0" borderId="9" xfId="0" applyNumberFormat="1" applyBorder="1"/>
    <xf numFmtId="0" fontId="0" fillId="26" borderId="9" xfId="0" applyFill="1" applyBorder="1"/>
    <xf numFmtId="0" fontId="1" fillId="26" borderId="9" xfId="0" applyFont="1" applyFill="1" applyBorder="1"/>
    <xf numFmtId="0" fontId="0" fillId="26" borderId="12" xfId="0" applyFill="1" applyBorder="1" applyAlignment="1">
      <alignment horizontal="center"/>
    </xf>
    <xf numFmtId="0" fontId="0" fillId="26" borderId="68" xfId="0" applyFill="1" applyBorder="1" applyAlignment="1">
      <alignment horizontal="center"/>
    </xf>
  </cellXfs>
  <cellStyles count="1">
    <cellStyle name="Normale" xfId="0" builtinId="0"/>
  </cellStyles>
  <dxfs count="18">
    <dxf>
      <fill>
        <patternFill patternType="solid">
          <fgColor rgb="FFFF0000"/>
          <bgColor rgb="FFFF0000"/>
        </patternFill>
      </fill>
    </dxf>
    <dxf>
      <fill>
        <patternFill patternType="solid">
          <fgColor theme="9"/>
          <bgColor theme="9"/>
        </patternFill>
      </fill>
    </dxf>
    <dxf>
      <fill>
        <patternFill patternType="solid">
          <fgColor rgb="FFFFFF00"/>
          <bgColor rgb="FFFFFF00"/>
        </patternFill>
      </fill>
    </dxf>
    <dxf>
      <fill>
        <patternFill patternType="solid">
          <fgColor theme="6"/>
          <bgColor theme="6"/>
        </patternFill>
      </fill>
    </dxf>
    <dxf>
      <fill>
        <patternFill patternType="solid">
          <fgColor theme="9"/>
          <bgColor theme="9"/>
        </patternFill>
      </fill>
    </dxf>
    <dxf>
      <border diagonalUp="0" diagonalDown="0">
        <left style="thin">
          <color indexed="64"/>
        </left>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border>
    </dxf>
    <dxf>
      <border>
        <bottom style="thin">
          <color indexed="64"/>
        </bottom>
      </border>
    </dxf>
    <dxf>
      <border diagonalUp="0" diagonalDown="0">
        <left style="thin">
          <color indexed="64"/>
        </left>
        <right style="thin">
          <color indexed="64"/>
        </right>
        <top/>
        <bottom/>
        <vertical style="thin">
          <color indexed="64"/>
        </vertical>
        <horizontal style="thin">
          <color indexed="64"/>
        </horizontal>
      </border>
    </dxf>
    <dxf>
      <fill>
        <patternFill patternType="solid">
          <fgColor rgb="FFD9E2F3"/>
          <bgColor rgb="FFD9E2F3"/>
        </patternFill>
      </fill>
    </dxf>
    <dxf>
      <fill>
        <patternFill patternType="solid">
          <fgColor rgb="FFB4C6E7"/>
          <bgColor rgb="FFB4C6E7"/>
        </patternFill>
      </fill>
    </dxf>
    <dxf>
      <fill>
        <patternFill patternType="solid">
          <fgColor theme="8"/>
          <bgColor theme="8"/>
        </patternFill>
      </fill>
    </dxf>
  </dxfs>
  <tableStyles count="1">
    <tableStyle name="Foglio2-style" pivot="0" count="3" xr9:uid="{00000000-0011-0000-FFFF-FFFF00000000}">
      <tableStyleElement type="headerRow" dxfId="17"/>
      <tableStyleElement type="firstRowStripe" dxfId="16"/>
      <tableStyleElement type="secondRowStripe" dxfId="15"/>
    </tableStyle>
  </tableStyles>
  <colors>
    <mruColors>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13</xdr:col>
      <xdr:colOff>57150</xdr:colOff>
      <xdr:row>13</xdr:row>
      <xdr:rowOff>123825</xdr:rowOff>
    </xdr:from>
    <xdr:to>
      <xdr:col>17</xdr:col>
      <xdr:colOff>63649</xdr:colOff>
      <xdr:row>19</xdr:row>
      <xdr:rowOff>81915</xdr:rowOff>
    </xdr:to>
    <xdr:pic>
      <xdr:nvPicPr>
        <xdr:cNvPr id="2" name="Immagine 1" descr="esercizi bicipiti10">
          <a:extLst>
            <a:ext uri="{FF2B5EF4-FFF2-40B4-BE49-F238E27FC236}">
              <a16:creationId xmlns:a16="http://schemas.microsoft.com/office/drawing/2014/main" id="{0D9E67BF-8752-38FA-7ED6-8483435B07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67650" y="2600325"/>
          <a:ext cx="2437279" cy="1104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28575</xdr:colOff>
      <xdr:row>1</xdr:row>
      <xdr:rowOff>19051</xdr:rowOff>
    </xdr:from>
    <xdr:to>
      <xdr:col>17</xdr:col>
      <xdr:colOff>26670</xdr:colOff>
      <xdr:row>6</xdr:row>
      <xdr:rowOff>42387</xdr:rowOff>
    </xdr:to>
    <xdr:pic>
      <xdr:nvPicPr>
        <xdr:cNvPr id="3" name="Immagine 2" descr="esercizi tricipiti17">
          <a:extLst>
            <a:ext uri="{FF2B5EF4-FFF2-40B4-BE49-F238E27FC236}">
              <a16:creationId xmlns:a16="http://schemas.microsoft.com/office/drawing/2014/main" id="{B81A9ABC-2750-3A44-67B5-8C13FAC07B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839075" y="209551"/>
          <a:ext cx="2428875" cy="9796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38100</xdr:colOff>
      <xdr:row>7</xdr:row>
      <xdr:rowOff>57150</xdr:rowOff>
    </xdr:from>
    <xdr:to>
      <xdr:col>17</xdr:col>
      <xdr:colOff>66872</xdr:colOff>
      <xdr:row>12</xdr:row>
      <xdr:rowOff>64770</xdr:rowOff>
    </xdr:to>
    <xdr:pic>
      <xdr:nvPicPr>
        <xdr:cNvPr id="4" name="Immagine 3" descr="esercizi pettorali petto21">
          <a:extLst>
            <a:ext uri="{FF2B5EF4-FFF2-40B4-BE49-F238E27FC236}">
              <a16:creationId xmlns:a16="http://schemas.microsoft.com/office/drawing/2014/main" id="{8ED01AA8-F20F-A8F1-3FA6-B2158F2652E3}"/>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7848600" y="1390650"/>
          <a:ext cx="2463362" cy="952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85725</xdr:colOff>
      <xdr:row>20</xdr:row>
      <xdr:rowOff>76201</xdr:rowOff>
    </xdr:from>
    <xdr:to>
      <xdr:col>17</xdr:col>
      <xdr:colOff>25118</xdr:colOff>
      <xdr:row>25</xdr:row>
      <xdr:rowOff>146685</xdr:rowOff>
    </xdr:to>
    <xdr:pic>
      <xdr:nvPicPr>
        <xdr:cNvPr id="5" name="Immagine 4" descr="esercizi addome2">
          <a:extLst>
            <a:ext uri="{FF2B5EF4-FFF2-40B4-BE49-F238E27FC236}">
              <a16:creationId xmlns:a16="http://schemas.microsoft.com/office/drawing/2014/main" id="{183E8FC9-6AFA-EA71-0E38-5FAA02F408EC}"/>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7705725" y="3886201"/>
          <a:ext cx="2370173" cy="10191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47625</xdr:colOff>
      <xdr:row>27</xdr:row>
      <xdr:rowOff>19051</xdr:rowOff>
    </xdr:from>
    <xdr:to>
      <xdr:col>17</xdr:col>
      <xdr:colOff>110346</xdr:colOff>
      <xdr:row>32</xdr:row>
      <xdr:rowOff>64771</xdr:rowOff>
    </xdr:to>
    <xdr:pic>
      <xdr:nvPicPr>
        <xdr:cNvPr id="7" name="Immagine 6" descr="esercizi addome33">
          <a:extLst>
            <a:ext uri="{FF2B5EF4-FFF2-40B4-BE49-F238E27FC236}">
              <a16:creationId xmlns:a16="http://schemas.microsoft.com/office/drawing/2014/main" id="{23DCEABE-C591-8345-9210-521E0D5EA7AD}"/>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7667625" y="5162551"/>
          <a:ext cx="2497311"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F8:K23" headerRowDxfId="14" totalsRowDxfId="11" headerRowBorderDxfId="13" tableBorderDxfId="12">
  <tableColumns count="6">
    <tableColumn id="1" xr3:uid="{00000000-0010-0000-0000-000001000000}" name="Codice" dataDxfId="10"/>
    <tableColumn id="2" xr3:uid="{00000000-0010-0000-0000-000002000000}" name="Nome" dataDxfId="9"/>
    <tableColumn id="3" xr3:uid="{00000000-0010-0000-0000-000003000000}" name="Prezzo di mercato" dataDxfId="8"/>
    <tableColumn id="4" xr3:uid="{00000000-0010-0000-0000-000004000000}" name="Mio Prezzo" dataDxfId="7"/>
    <tableColumn id="5" xr3:uid="{00000000-0010-0000-0000-000005000000}" name="Prezzo venduto" dataDxfId="6"/>
    <tableColumn id="6" xr3:uid="{00000000-0010-0000-0000-000006000000}" name="Venduto" dataDxfId="5"/>
  </tableColumns>
  <tableStyleInfo name="Foglio2-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005"/>
  <sheetViews>
    <sheetView workbookViewId="0">
      <selection activeCell="C2" sqref="C2"/>
    </sheetView>
  </sheetViews>
  <sheetFormatPr defaultColWidth="14.42578125" defaultRowHeight="15" customHeight="1"/>
  <cols>
    <col min="1" max="1" width="10" bestFit="1" customWidth="1"/>
    <col min="2" max="2" width="14" bestFit="1" customWidth="1"/>
    <col min="3" max="3" width="166" customWidth="1"/>
    <col min="4" max="27" width="8.7109375" customWidth="1"/>
  </cols>
  <sheetData>
    <row r="1" spans="1:3" ht="20.25" thickBot="1">
      <c r="A1" s="68" t="s">
        <v>0</v>
      </c>
      <c r="B1" s="68" t="s">
        <v>167</v>
      </c>
      <c r="C1" s="69" t="s">
        <v>1</v>
      </c>
    </row>
    <row r="2" spans="1:3" ht="15.75" thickTop="1">
      <c r="A2" s="65">
        <v>1</v>
      </c>
      <c r="B2" s="65" t="s">
        <v>168</v>
      </c>
      <c r="C2" s="156" t="s">
        <v>162</v>
      </c>
    </row>
    <row r="3" spans="1:3">
      <c r="A3" s="63">
        <v>2</v>
      </c>
      <c r="B3" s="63" t="s">
        <v>168</v>
      </c>
      <c r="C3" s="66" t="s">
        <v>165</v>
      </c>
    </row>
    <row r="4" spans="1:3">
      <c r="A4" s="65">
        <v>3</v>
      </c>
      <c r="B4" s="62" t="s">
        <v>168</v>
      </c>
      <c r="C4" s="67" t="s">
        <v>163</v>
      </c>
    </row>
    <row r="5" spans="1:3" ht="45">
      <c r="A5" s="63">
        <v>4</v>
      </c>
      <c r="B5" s="63" t="s">
        <v>168</v>
      </c>
      <c r="C5" s="165" t="s">
        <v>218</v>
      </c>
    </row>
    <row r="6" spans="1:3" ht="15.75" thickBot="1">
      <c r="A6" s="164">
        <v>5</v>
      </c>
      <c r="B6" s="157" t="s">
        <v>168</v>
      </c>
      <c r="C6" s="158" t="s">
        <v>164</v>
      </c>
    </row>
    <row r="7" spans="1:3" ht="15.75" thickTop="1">
      <c r="A7" s="159">
        <v>6</v>
      </c>
      <c r="B7" s="159" t="s">
        <v>169</v>
      </c>
      <c r="C7" s="160" t="s">
        <v>166</v>
      </c>
    </row>
    <row r="8" spans="1:3">
      <c r="A8" s="167">
        <v>7</v>
      </c>
      <c r="B8" s="169" t="s">
        <v>169</v>
      </c>
      <c r="C8" s="166" t="s">
        <v>219</v>
      </c>
    </row>
    <row r="9" spans="1:3">
      <c r="A9" s="168"/>
      <c r="B9" s="170"/>
      <c r="C9" s="166" t="s">
        <v>194</v>
      </c>
    </row>
    <row r="10" spans="1:3">
      <c r="A10" s="63">
        <v>8</v>
      </c>
      <c r="B10" s="63" t="s">
        <v>169</v>
      </c>
      <c r="C10" s="66" t="s">
        <v>157</v>
      </c>
    </row>
    <row r="11" spans="1:3" ht="15.75" thickBot="1">
      <c r="A11" s="164">
        <v>9</v>
      </c>
      <c r="B11" s="157" t="s">
        <v>169</v>
      </c>
      <c r="C11" s="158" t="s">
        <v>158</v>
      </c>
    </row>
    <row r="12" spans="1:3" ht="15.75" thickTop="1">
      <c r="A12" s="159">
        <v>10</v>
      </c>
      <c r="B12" s="159" t="s">
        <v>170</v>
      </c>
      <c r="C12" s="161" t="s">
        <v>160</v>
      </c>
    </row>
    <row r="13" spans="1:3" ht="15.75" thickBot="1">
      <c r="A13" s="164">
        <v>11</v>
      </c>
      <c r="B13" s="157" t="s">
        <v>170</v>
      </c>
      <c r="C13" s="158" t="s">
        <v>161</v>
      </c>
    </row>
    <row r="14" spans="1:3" ht="15" customHeight="1" thickTop="1" thickBot="1">
      <c r="A14" s="64">
        <v>12</v>
      </c>
      <c r="B14" s="162" t="s">
        <v>171</v>
      </c>
      <c r="C14" s="163" t="s">
        <v>159</v>
      </c>
    </row>
    <row r="15" spans="1:3" ht="15" customHeight="1" thickTop="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sheetData>
  <mergeCells count="2">
    <mergeCell ref="A8:A9"/>
    <mergeCell ref="B8:B9"/>
  </mergeCells>
  <pageMargins left="0.7" right="0.7" top="0.75" bottom="0.75" header="0" footer="0"/>
  <pageSetup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F1:P1000"/>
  <sheetViews>
    <sheetView workbookViewId="0">
      <selection activeCell="N25" sqref="N25"/>
    </sheetView>
  </sheetViews>
  <sheetFormatPr defaultColWidth="14.42578125" defaultRowHeight="15" customHeight="1"/>
  <cols>
    <col min="1" max="5" width="8.7109375" customWidth="1"/>
    <col min="6" max="6" width="17" customWidth="1"/>
    <col min="7" max="7" width="25.7109375" customWidth="1"/>
    <col min="8" max="8" width="18.85546875" customWidth="1"/>
    <col min="9" max="9" width="13.42578125" customWidth="1"/>
    <col min="10" max="10" width="18.28515625" customWidth="1"/>
    <col min="11" max="11" width="11.42578125" customWidth="1"/>
    <col min="12" max="12" width="8.7109375" customWidth="1"/>
    <col min="13" max="13" width="8.5703125" customWidth="1"/>
    <col min="14" max="14" width="8.7109375" customWidth="1"/>
    <col min="15" max="15" width="25.5703125" customWidth="1"/>
    <col min="16" max="26" width="8.7109375" customWidth="1"/>
  </cols>
  <sheetData>
    <row r="1" spans="6:16">
      <c r="F1" s="1"/>
    </row>
    <row r="2" spans="6:16">
      <c r="F2" s="1"/>
    </row>
    <row r="3" spans="6:16">
      <c r="F3" s="1"/>
    </row>
    <row r="4" spans="6:16">
      <c r="F4" s="1"/>
    </row>
    <row r="5" spans="6:16">
      <c r="F5" s="1"/>
      <c r="O5" s="1"/>
    </row>
    <row r="6" spans="6:16">
      <c r="F6" s="1"/>
      <c r="O6" s="1"/>
    </row>
    <row r="7" spans="6:16">
      <c r="F7" s="1"/>
      <c r="O7" s="1"/>
    </row>
    <row r="8" spans="6:16">
      <c r="F8" s="39" t="s">
        <v>2</v>
      </c>
      <c r="G8" s="40" t="s">
        <v>3</v>
      </c>
      <c r="H8" s="40" t="s">
        <v>4</v>
      </c>
      <c r="I8" s="40" t="s">
        <v>5</v>
      </c>
      <c r="J8" s="40" t="s">
        <v>6</v>
      </c>
      <c r="K8" s="41" t="s">
        <v>7</v>
      </c>
    </row>
    <row r="9" spans="6:16" ht="15.75">
      <c r="F9" s="42" t="s">
        <v>8</v>
      </c>
      <c r="G9" s="43" t="s">
        <v>9</v>
      </c>
      <c r="H9" s="44">
        <v>10</v>
      </c>
      <c r="I9" s="44">
        <f t="shared" ref="I9:I22" si="0">IF(H9=15,(H9-5)/2,H9/2-1)</f>
        <v>4</v>
      </c>
      <c r="J9" s="44">
        <v>4</v>
      </c>
      <c r="K9" s="45" t="s">
        <v>10</v>
      </c>
      <c r="O9" s="2" t="s">
        <v>11</v>
      </c>
      <c r="P9" s="3">
        <f>AVERAGE(I9:I22)</f>
        <v>4.3928571428571432</v>
      </c>
    </row>
    <row r="10" spans="6:16">
      <c r="F10" s="42" t="s">
        <v>12</v>
      </c>
      <c r="G10" s="46" t="s">
        <v>13</v>
      </c>
      <c r="H10" s="44">
        <v>9</v>
      </c>
      <c r="I10" s="44">
        <f t="shared" si="0"/>
        <v>3.5</v>
      </c>
      <c r="J10" s="44">
        <v>3.5</v>
      </c>
      <c r="K10" s="45" t="s">
        <v>10</v>
      </c>
      <c r="O10" s="2" t="s">
        <v>14</v>
      </c>
      <c r="P10" s="3">
        <f>AVERAGE(J13,J15,J10,J9,J18,J17,J21)</f>
        <v>3.7857142857142856</v>
      </c>
    </row>
    <row r="11" spans="6:16">
      <c r="F11" s="42" t="s">
        <v>15</v>
      </c>
      <c r="G11" s="46" t="s">
        <v>16</v>
      </c>
      <c r="H11" s="44">
        <v>9</v>
      </c>
      <c r="I11" s="44">
        <f t="shared" si="0"/>
        <v>3.5</v>
      </c>
      <c r="J11" s="44">
        <v>5</v>
      </c>
      <c r="K11" s="45" t="s">
        <v>10</v>
      </c>
      <c r="O11" s="4" t="s">
        <v>18</v>
      </c>
      <c r="P11" s="3">
        <f>I23-P12</f>
        <v>25</v>
      </c>
    </row>
    <row r="12" spans="6:16">
      <c r="F12" s="47" t="s">
        <v>19</v>
      </c>
      <c r="G12" s="48" t="s">
        <v>20</v>
      </c>
      <c r="H12" s="49">
        <v>15</v>
      </c>
      <c r="I12" s="49">
        <f t="shared" si="0"/>
        <v>5</v>
      </c>
      <c r="J12" s="49"/>
      <c r="K12" s="50" t="s">
        <v>17</v>
      </c>
      <c r="O12" s="4" t="s">
        <v>21</v>
      </c>
      <c r="P12" s="3">
        <f>SUM(I13,I15,I10,I9,I17,I18,I21,I20,I11)</f>
        <v>36.5</v>
      </c>
    </row>
    <row r="13" spans="6:16">
      <c r="F13" s="42" t="s">
        <v>22</v>
      </c>
      <c r="G13" s="46" t="s">
        <v>23</v>
      </c>
      <c r="H13" s="44">
        <v>15</v>
      </c>
      <c r="I13" s="44">
        <f t="shared" si="0"/>
        <v>5</v>
      </c>
      <c r="J13" s="44">
        <v>4.5</v>
      </c>
      <c r="K13" s="45" t="s">
        <v>10</v>
      </c>
      <c r="O13" s="4" t="s">
        <v>24</v>
      </c>
      <c r="P13" s="3">
        <f>SUM(J9:J11,J17:J18,J20:J21,J15,J13,)</f>
        <v>35</v>
      </c>
    </row>
    <row r="14" spans="6:16">
      <c r="F14" s="47" t="s">
        <v>25</v>
      </c>
      <c r="G14" s="48" t="s">
        <v>26</v>
      </c>
      <c r="H14" s="49">
        <v>15</v>
      </c>
      <c r="I14" s="49">
        <f t="shared" si="0"/>
        <v>5</v>
      </c>
      <c r="J14" s="49"/>
      <c r="K14" s="50" t="s">
        <v>17</v>
      </c>
      <c r="O14" s="4" t="s">
        <v>27</v>
      </c>
      <c r="P14" s="3">
        <f>P12-P13</f>
        <v>1.5</v>
      </c>
    </row>
    <row r="15" spans="6:16">
      <c r="F15" s="42" t="s">
        <v>28</v>
      </c>
      <c r="G15" s="46" t="s">
        <v>29</v>
      </c>
      <c r="H15" s="44">
        <v>15</v>
      </c>
      <c r="I15" s="44">
        <f t="shared" si="0"/>
        <v>5</v>
      </c>
      <c r="J15" s="44">
        <v>4</v>
      </c>
      <c r="K15" s="45" t="s">
        <v>10</v>
      </c>
    </row>
    <row r="16" spans="6:16">
      <c r="F16" s="47" t="s">
        <v>30</v>
      </c>
      <c r="G16" s="48" t="s">
        <v>31</v>
      </c>
      <c r="H16" s="49">
        <v>15</v>
      </c>
      <c r="I16" s="49">
        <f t="shared" si="0"/>
        <v>5</v>
      </c>
      <c r="J16" s="49"/>
      <c r="K16" s="50" t="s">
        <v>17</v>
      </c>
    </row>
    <row r="17" spans="6:14">
      <c r="F17" s="42" t="s">
        <v>32</v>
      </c>
      <c r="G17" s="46" t="s">
        <v>33</v>
      </c>
      <c r="H17" s="44">
        <v>9</v>
      </c>
      <c r="I17" s="44">
        <f t="shared" si="0"/>
        <v>3.5</v>
      </c>
      <c r="J17" s="44">
        <v>3.5</v>
      </c>
      <c r="K17" s="45" t="s">
        <v>10</v>
      </c>
    </row>
    <row r="18" spans="6:14">
      <c r="F18" s="42" t="s">
        <v>34</v>
      </c>
      <c r="G18" s="46" t="s">
        <v>35</v>
      </c>
      <c r="H18" s="44">
        <v>9</v>
      </c>
      <c r="I18" s="44">
        <f t="shared" si="0"/>
        <v>3.5</v>
      </c>
      <c r="J18" s="44">
        <v>3.5</v>
      </c>
      <c r="K18" s="45" t="s">
        <v>10</v>
      </c>
    </row>
    <row r="19" spans="6:14">
      <c r="F19" s="47" t="s">
        <v>36</v>
      </c>
      <c r="G19" s="48" t="s">
        <v>37</v>
      </c>
      <c r="H19" s="49">
        <v>15</v>
      </c>
      <c r="I19" s="49">
        <f t="shared" si="0"/>
        <v>5</v>
      </c>
      <c r="J19" s="49"/>
      <c r="K19" s="50" t="s">
        <v>17</v>
      </c>
    </row>
    <row r="20" spans="6:14">
      <c r="F20" s="42" t="s">
        <v>38</v>
      </c>
      <c r="G20" s="46" t="s">
        <v>39</v>
      </c>
      <c r="H20" s="44">
        <v>9</v>
      </c>
      <c r="I20" s="44">
        <f t="shared" si="0"/>
        <v>3.5</v>
      </c>
      <c r="J20" s="44">
        <v>3.5</v>
      </c>
      <c r="K20" s="45" t="s">
        <v>10</v>
      </c>
    </row>
    <row r="21" spans="6:14" ht="15.75" customHeight="1">
      <c r="F21" s="42" t="s">
        <v>40</v>
      </c>
      <c r="G21" s="46" t="s">
        <v>41</v>
      </c>
      <c r="H21" s="44">
        <v>15</v>
      </c>
      <c r="I21" s="44">
        <f t="shared" si="0"/>
        <v>5</v>
      </c>
      <c r="J21" s="44">
        <v>3.5</v>
      </c>
      <c r="K21" s="45" t="s">
        <v>10</v>
      </c>
    </row>
    <row r="22" spans="6:14" ht="15.75" customHeight="1">
      <c r="F22" s="47" t="s">
        <v>42</v>
      </c>
      <c r="G22" s="48" t="s">
        <v>43</v>
      </c>
      <c r="H22" s="49">
        <v>15</v>
      </c>
      <c r="I22" s="49">
        <f t="shared" si="0"/>
        <v>5</v>
      </c>
      <c r="J22" s="49"/>
      <c r="K22" s="50" t="s">
        <v>17</v>
      </c>
      <c r="N22" s="5"/>
    </row>
    <row r="23" spans="6:14" ht="15.75" customHeight="1">
      <c r="F23" s="51" t="s">
        <v>44</v>
      </c>
      <c r="G23" s="52" t="s">
        <v>45</v>
      </c>
      <c r="H23" s="53">
        <f t="shared" ref="H23:J23" si="1">SUM(H9:H22)</f>
        <v>175</v>
      </c>
      <c r="I23" s="53">
        <f t="shared" si="1"/>
        <v>61.5</v>
      </c>
      <c r="J23" s="53">
        <f t="shared" si="1"/>
        <v>35</v>
      </c>
      <c r="K23" s="54">
        <f>COUNTIF(K9:K22, "True")</f>
        <v>9</v>
      </c>
    </row>
    <row r="24" spans="6:14" ht="15.75" customHeight="1">
      <c r="F24" s="171" t="s">
        <v>46</v>
      </c>
      <c r="G24" s="172"/>
      <c r="H24" s="172"/>
      <c r="I24" s="172"/>
      <c r="J24" s="172"/>
      <c r="K24" s="172"/>
    </row>
    <row r="25" spans="6:14" ht="15.75" customHeight="1">
      <c r="F25" s="171" t="s">
        <v>47</v>
      </c>
      <c r="G25" s="172"/>
      <c r="H25" s="172"/>
      <c r="I25" s="172"/>
      <c r="J25" s="172"/>
      <c r="K25" s="172"/>
    </row>
    <row r="26" spans="6:14" ht="15.75" customHeight="1">
      <c r="F26" s="171" t="s">
        <v>48</v>
      </c>
      <c r="G26" s="172"/>
      <c r="H26" s="172"/>
      <c r="I26" s="172"/>
      <c r="J26" s="172"/>
      <c r="K26" s="172"/>
    </row>
    <row r="27" spans="6:14" ht="15.75" customHeight="1">
      <c r="F27" s="1"/>
    </row>
    <row r="28" spans="6:14" ht="15.75" customHeight="1">
      <c r="F28" s="1"/>
    </row>
    <row r="29" spans="6:14" ht="15.75" customHeight="1">
      <c r="F29" s="1"/>
    </row>
    <row r="30" spans="6:14" ht="15.75" customHeight="1">
      <c r="F30" s="1"/>
    </row>
    <row r="31" spans="6:14" ht="15.75" customHeight="1">
      <c r="F31" s="1"/>
    </row>
    <row r="32" spans="6:14" ht="15.75" customHeight="1">
      <c r="F32" s="1"/>
    </row>
    <row r="33" spans="6:6" ht="15.75" customHeight="1">
      <c r="F33" s="1"/>
    </row>
    <row r="34" spans="6:6" ht="15.75" customHeight="1">
      <c r="F34" s="1"/>
    </row>
    <row r="35" spans="6:6" ht="15.75" customHeight="1">
      <c r="F35" s="1"/>
    </row>
    <row r="36" spans="6:6" ht="15.75" customHeight="1">
      <c r="F36" s="1"/>
    </row>
    <row r="37" spans="6:6" ht="15.75" customHeight="1">
      <c r="F37" s="1"/>
    </row>
    <row r="38" spans="6:6" ht="15.75" customHeight="1">
      <c r="F38" s="1"/>
    </row>
    <row r="39" spans="6:6" ht="15.75" customHeight="1">
      <c r="F39" s="1"/>
    </row>
    <row r="40" spans="6:6" ht="15.75" customHeight="1">
      <c r="F40" s="1"/>
    </row>
    <row r="41" spans="6:6" ht="15.75" customHeight="1">
      <c r="F41" s="1"/>
    </row>
    <row r="42" spans="6:6" ht="15.75" customHeight="1">
      <c r="F42" s="1"/>
    </row>
    <row r="43" spans="6:6" ht="15.75" customHeight="1">
      <c r="F43" s="1"/>
    </row>
    <row r="44" spans="6:6" ht="15.75" customHeight="1">
      <c r="F44" s="1"/>
    </row>
    <row r="45" spans="6:6" ht="15.75" customHeight="1">
      <c r="F45" s="1"/>
    </row>
    <row r="46" spans="6:6" ht="15.75" customHeight="1">
      <c r="F46" s="1"/>
    </row>
    <row r="47" spans="6:6" ht="15.75" customHeight="1">
      <c r="F47" s="1"/>
    </row>
    <row r="48" spans="6:6" ht="15.75" customHeight="1">
      <c r="F48" s="1"/>
    </row>
    <row r="49" spans="6:6" ht="15.75" customHeight="1">
      <c r="F49" s="1"/>
    </row>
    <row r="50" spans="6:6" ht="15.75" customHeight="1">
      <c r="F50" s="1"/>
    </row>
    <row r="51" spans="6:6" ht="15.75" customHeight="1">
      <c r="F51" s="1"/>
    </row>
    <row r="52" spans="6:6" ht="15.75" customHeight="1">
      <c r="F52" s="1"/>
    </row>
    <row r="53" spans="6:6" ht="15.75" customHeight="1">
      <c r="F53" s="1"/>
    </row>
    <row r="54" spans="6:6" ht="15.75" customHeight="1">
      <c r="F54" s="1"/>
    </row>
    <row r="55" spans="6:6" ht="15.75" customHeight="1">
      <c r="F55" s="1"/>
    </row>
    <row r="56" spans="6:6" ht="15.75" customHeight="1">
      <c r="F56" s="1"/>
    </row>
    <row r="57" spans="6:6" ht="15.75" customHeight="1">
      <c r="F57" s="1"/>
    </row>
    <row r="58" spans="6:6" ht="15.75" customHeight="1">
      <c r="F58" s="1"/>
    </row>
    <row r="59" spans="6:6" ht="15.75" customHeight="1">
      <c r="F59" s="1"/>
    </row>
    <row r="60" spans="6:6" ht="15.75" customHeight="1">
      <c r="F60" s="1"/>
    </row>
    <row r="61" spans="6:6" ht="15.75" customHeight="1">
      <c r="F61" s="1"/>
    </row>
    <row r="62" spans="6:6" ht="15.75" customHeight="1">
      <c r="F62" s="1"/>
    </row>
    <row r="63" spans="6:6" ht="15.75" customHeight="1">
      <c r="F63" s="1"/>
    </row>
    <row r="64" spans="6:6" ht="15.75" customHeight="1">
      <c r="F64" s="1"/>
    </row>
    <row r="65" spans="6:6" ht="15.75" customHeight="1">
      <c r="F65" s="1"/>
    </row>
    <row r="66" spans="6:6" ht="15.75" customHeight="1">
      <c r="F66" s="1"/>
    </row>
    <row r="67" spans="6:6" ht="15.75" customHeight="1">
      <c r="F67" s="1"/>
    </row>
    <row r="68" spans="6:6" ht="15.75" customHeight="1">
      <c r="F68" s="1"/>
    </row>
    <row r="69" spans="6:6" ht="15.75" customHeight="1">
      <c r="F69" s="1"/>
    </row>
    <row r="70" spans="6:6" ht="15.75" customHeight="1">
      <c r="F70" s="1"/>
    </row>
    <row r="71" spans="6:6" ht="15.75" customHeight="1">
      <c r="F71" s="1"/>
    </row>
    <row r="72" spans="6:6" ht="15.75" customHeight="1">
      <c r="F72" s="1"/>
    </row>
    <row r="73" spans="6:6" ht="15.75" customHeight="1">
      <c r="F73" s="1"/>
    </row>
    <row r="74" spans="6:6" ht="15.75" customHeight="1">
      <c r="F74" s="1"/>
    </row>
    <row r="75" spans="6:6" ht="15.75" customHeight="1">
      <c r="F75" s="1"/>
    </row>
    <row r="76" spans="6:6" ht="15.75" customHeight="1">
      <c r="F76" s="1"/>
    </row>
    <row r="77" spans="6:6" ht="15.75" customHeight="1">
      <c r="F77" s="1"/>
    </row>
    <row r="78" spans="6:6" ht="15.75" customHeight="1">
      <c r="F78" s="1"/>
    </row>
    <row r="79" spans="6:6" ht="15.75" customHeight="1">
      <c r="F79" s="1"/>
    </row>
    <row r="80" spans="6:6" ht="15.75" customHeight="1">
      <c r="F80" s="1"/>
    </row>
    <row r="81" spans="6:6" ht="15.75" customHeight="1">
      <c r="F81" s="1"/>
    </row>
    <row r="82" spans="6:6" ht="15.75" customHeight="1">
      <c r="F82" s="1"/>
    </row>
    <row r="83" spans="6:6" ht="15.75" customHeight="1">
      <c r="F83" s="1"/>
    </row>
    <row r="84" spans="6:6" ht="15.75" customHeight="1">
      <c r="F84" s="1"/>
    </row>
    <row r="85" spans="6:6" ht="15.75" customHeight="1">
      <c r="F85" s="1"/>
    </row>
    <row r="86" spans="6:6" ht="15.75" customHeight="1">
      <c r="F86" s="1"/>
    </row>
    <row r="87" spans="6:6" ht="15.75" customHeight="1">
      <c r="F87" s="1"/>
    </row>
    <row r="88" spans="6:6" ht="15.75" customHeight="1">
      <c r="F88" s="1"/>
    </row>
    <row r="89" spans="6:6" ht="15.75" customHeight="1">
      <c r="F89" s="1"/>
    </row>
    <row r="90" spans="6:6" ht="15.75" customHeight="1">
      <c r="F90" s="1"/>
    </row>
    <row r="91" spans="6:6" ht="15.75" customHeight="1">
      <c r="F91" s="1"/>
    </row>
    <row r="92" spans="6:6" ht="15.75" customHeight="1">
      <c r="F92" s="1"/>
    </row>
    <row r="93" spans="6:6" ht="15.75" customHeight="1">
      <c r="F93" s="1"/>
    </row>
    <row r="94" spans="6:6" ht="15.75" customHeight="1">
      <c r="F94" s="1"/>
    </row>
    <row r="95" spans="6:6" ht="15.75" customHeight="1">
      <c r="F95" s="1"/>
    </row>
    <row r="96" spans="6:6" ht="15.75" customHeight="1">
      <c r="F96" s="1"/>
    </row>
    <row r="97" spans="6:6" ht="15.75" customHeight="1">
      <c r="F97" s="1"/>
    </row>
    <row r="98" spans="6:6" ht="15.75" customHeight="1">
      <c r="F98" s="1"/>
    </row>
    <row r="99" spans="6:6" ht="15.75" customHeight="1">
      <c r="F99" s="1"/>
    </row>
    <row r="100" spans="6:6" ht="15.75" customHeight="1">
      <c r="F100" s="1"/>
    </row>
    <row r="101" spans="6:6" ht="15.75" customHeight="1">
      <c r="F101" s="1"/>
    </row>
    <row r="102" spans="6:6" ht="15.75" customHeight="1">
      <c r="F102" s="1"/>
    </row>
    <row r="103" spans="6:6" ht="15.75" customHeight="1">
      <c r="F103" s="1"/>
    </row>
    <row r="104" spans="6:6" ht="15.75" customHeight="1">
      <c r="F104" s="1"/>
    </row>
    <row r="105" spans="6:6" ht="15.75" customHeight="1">
      <c r="F105" s="1"/>
    </row>
    <row r="106" spans="6:6" ht="15.75" customHeight="1">
      <c r="F106" s="1"/>
    </row>
    <row r="107" spans="6:6" ht="15.75" customHeight="1">
      <c r="F107" s="1"/>
    </row>
    <row r="108" spans="6:6" ht="15.75" customHeight="1">
      <c r="F108" s="1"/>
    </row>
    <row r="109" spans="6:6" ht="15.75" customHeight="1">
      <c r="F109" s="1"/>
    </row>
    <row r="110" spans="6:6" ht="15.75" customHeight="1">
      <c r="F110" s="1"/>
    </row>
    <row r="111" spans="6:6" ht="15.75" customHeight="1">
      <c r="F111" s="1"/>
    </row>
    <row r="112" spans="6:6" ht="15.75" customHeight="1">
      <c r="F112" s="1"/>
    </row>
    <row r="113" spans="6:6" ht="15.75" customHeight="1">
      <c r="F113" s="1"/>
    </row>
    <row r="114" spans="6:6" ht="15.75" customHeight="1">
      <c r="F114" s="1"/>
    </row>
    <row r="115" spans="6:6" ht="15.75" customHeight="1">
      <c r="F115" s="1"/>
    </row>
    <row r="116" spans="6:6" ht="15.75" customHeight="1">
      <c r="F116" s="1"/>
    </row>
    <row r="117" spans="6:6" ht="15.75" customHeight="1">
      <c r="F117" s="1"/>
    </row>
    <row r="118" spans="6:6" ht="15.75" customHeight="1">
      <c r="F118" s="1"/>
    </row>
    <row r="119" spans="6:6" ht="15.75" customHeight="1">
      <c r="F119" s="1"/>
    </row>
    <row r="120" spans="6:6" ht="15.75" customHeight="1">
      <c r="F120" s="1"/>
    </row>
    <row r="121" spans="6:6" ht="15.75" customHeight="1">
      <c r="F121" s="1"/>
    </row>
    <row r="122" spans="6:6" ht="15.75" customHeight="1">
      <c r="F122" s="1"/>
    </row>
    <row r="123" spans="6:6" ht="15.75" customHeight="1">
      <c r="F123" s="1"/>
    </row>
    <row r="124" spans="6:6" ht="15.75" customHeight="1">
      <c r="F124" s="1"/>
    </row>
    <row r="125" spans="6:6" ht="15.75" customHeight="1">
      <c r="F125" s="1"/>
    </row>
    <row r="126" spans="6:6" ht="15.75" customHeight="1">
      <c r="F126" s="1"/>
    </row>
    <row r="127" spans="6:6" ht="15.75" customHeight="1">
      <c r="F127" s="1"/>
    </row>
    <row r="128" spans="6:6" ht="15.75" customHeight="1">
      <c r="F128" s="1"/>
    </row>
    <row r="129" spans="6:6" ht="15.75" customHeight="1">
      <c r="F129" s="1"/>
    </row>
    <row r="130" spans="6:6" ht="15.75" customHeight="1">
      <c r="F130" s="1"/>
    </row>
    <row r="131" spans="6:6" ht="15.75" customHeight="1">
      <c r="F131" s="1"/>
    </row>
    <row r="132" spans="6:6" ht="15.75" customHeight="1">
      <c r="F132" s="1"/>
    </row>
    <row r="133" spans="6:6" ht="15.75" customHeight="1">
      <c r="F133" s="1"/>
    </row>
    <row r="134" spans="6:6" ht="15.75" customHeight="1">
      <c r="F134" s="1"/>
    </row>
    <row r="135" spans="6:6" ht="15.75" customHeight="1">
      <c r="F135" s="1"/>
    </row>
    <row r="136" spans="6:6" ht="15.75" customHeight="1">
      <c r="F136" s="1"/>
    </row>
    <row r="137" spans="6:6" ht="15.75" customHeight="1">
      <c r="F137" s="1"/>
    </row>
    <row r="138" spans="6:6" ht="15.75" customHeight="1">
      <c r="F138" s="1"/>
    </row>
    <row r="139" spans="6:6" ht="15.75" customHeight="1">
      <c r="F139" s="1"/>
    </row>
    <row r="140" spans="6:6" ht="15.75" customHeight="1">
      <c r="F140" s="1"/>
    </row>
    <row r="141" spans="6:6" ht="15.75" customHeight="1">
      <c r="F141" s="1"/>
    </row>
    <row r="142" spans="6:6" ht="15.75" customHeight="1">
      <c r="F142" s="1"/>
    </row>
    <row r="143" spans="6:6" ht="15.75" customHeight="1">
      <c r="F143" s="1"/>
    </row>
    <row r="144" spans="6:6" ht="15.75" customHeight="1">
      <c r="F144" s="1"/>
    </row>
    <row r="145" spans="6:6" ht="15.75" customHeight="1">
      <c r="F145" s="1"/>
    </row>
    <row r="146" spans="6:6" ht="15.75" customHeight="1">
      <c r="F146" s="1"/>
    </row>
    <row r="147" spans="6:6" ht="15.75" customHeight="1">
      <c r="F147" s="1"/>
    </row>
    <row r="148" spans="6:6" ht="15.75" customHeight="1">
      <c r="F148" s="1"/>
    </row>
    <row r="149" spans="6:6" ht="15.75" customHeight="1">
      <c r="F149" s="1"/>
    </row>
    <row r="150" spans="6:6" ht="15.75" customHeight="1">
      <c r="F150" s="1"/>
    </row>
    <row r="151" spans="6:6" ht="15.75" customHeight="1">
      <c r="F151" s="1"/>
    </row>
    <row r="152" spans="6:6" ht="15.75" customHeight="1">
      <c r="F152" s="1"/>
    </row>
    <row r="153" spans="6:6" ht="15.75" customHeight="1">
      <c r="F153" s="1"/>
    </row>
    <row r="154" spans="6:6" ht="15.75" customHeight="1">
      <c r="F154" s="1"/>
    </row>
    <row r="155" spans="6:6" ht="15.75" customHeight="1">
      <c r="F155" s="1"/>
    </row>
    <row r="156" spans="6:6" ht="15.75" customHeight="1">
      <c r="F156" s="1"/>
    </row>
    <row r="157" spans="6:6" ht="15.75" customHeight="1">
      <c r="F157" s="1"/>
    </row>
    <row r="158" spans="6:6" ht="15.75" customHeight="1">
      <c r="F158" s="1"/>
    </row>
    <row r="159" spans="6:6" ht="15.75" customHeight="1">
      <c r="F159" s="1"/>
    </row>
    <row r="160" spans="6:6" ht="15.75" customHeight="1">
      <c r="F160" s="1"/>
    </row>
    <row r="161" spans="6:6" ht="15.75" customHeight="1">
      <c r="F161" s="1"/>
    </row>
    <row r="162" spans="6:6" ht="15.75" customHeight="1">
      <c r="F162" s="1"/>
    </row>
    <row r="163" spans="6:6" ht="15.75" customHeight="1">
      <c r="F163" s="1"/>
    </row>
    <row r="164" spans="6:6" ht="15.75" customHeight="1">
      <c r="F164" s="1"/>
    </row>
    <row r="165" spans="6:6" ht="15.75" customHeight="1">
      <c r="F165" s="1"/>
    </row>
    <row r="166" spans="6:6" ht="15.75" customHeight="1">
      <c r="F166" s="1"/>
    </row>
    <row r="167" spans="6:6" ht="15.75" customHeight="1">
      <c r="F167" s="1"/>
    </row>
    <row r="168" spans="6:6" ht="15.75" customHeight="1">
      <c r="F168" s="1"/>
    </row>
    <row r="169" spans="6:6" ht="15.75" customHeight="1">
      <c r="F169" s="1"/>
    </row>
    <row r="170" spans="6:6" ht="15.75" customHeight="1">
      <c r="F170" s="1"/>
    </row>
    <row r="171" spans="6:6" ht="15.75" customHeight="1">
      <c r="F171" s="1"/>
    </row>
    <row r="172" spans="6:6" ht="15.75" customHeight="1">
      <c r="F172" s="1"/>
    </row>
    <row r="173" spans="6:6" ht="15.75" customHeight="1">
      <c r="F173" s="1"/>
    </row>
    <row r="174" spans="6:6" ht="15.75" customHeight="1">
      <c r="F174" s="1"/>
    </row>
    <row r="175" spans="6:6" ht="15.75" customHeight="1">
      <c r="F175" s="1"/>
    </row>
    <row r="176" spans="6:6" ht="15.75" customHeight="1">
      <c r="F176" s="1"/>
    </row>
    <row r="177" spans="6:6" ht="15.75" customHeight="1">
      <c r="F177" s="1"/>
    </row>
    <row r="178" spans="6:6" ht="15.75" customHeight="1">
      <c r="F178" s="1"/>
    </row>
    <row r="179" spans="6:6" ht="15.75" customHeight="1">
      <c r="F179" s="1"/>
    </row>
    <row r="180" spans="6:6" ht="15.75" customHeight="1">
      <c r="F180" s="1"/>
    </row>
    <row r="181" spans="6:6" ht="15.75" customHeight="1">
      <c r="F181" s="1"/>
    </row>
    <row r="182" spans="6:6" ht="15.75" customHeight="1">
      <c r="F182" s="1"/>
    </row>
    <row r="183" spans="6:6" ht="15.75" customHeight="1">
      <c r="F183" s="1"/>
    </row>
    <row r="184" spans="6:6" ht="15.75" customHeight="1">
      <c r="F184" s="1"/>
    </row>
    <row r="185" spans="6:6" ht="15.75" customHeight="1">
      <c r="F185" s="1"/>
    </row>
    <row r="186" spans="6:6" ht="15.75" customHeight="1">
      <c r="F186" s="1"/>
    </row>
    <row r="187" spans="6:6" ht="15.75" customHeight="1">
      <c r="F187" s="1"/>
    </row>
    <row r="188" spans="6:6" ht="15.75" customHeight="1">
      <c r="F188" s="1"/>
    </row>
    <row r="189" spans="6:6" ht="15.75" customHeight="1">
      <c r="F189" s="1"/>
    </row>
    <row r="190" spans="6:6" ht="15.75" customHeight="1">
      <c r="F190" s="1"/>
    </row>
    <row r="191" spans="6:6" ht="15.75" customHeight="1">
      <c r="F191" s="1"/>
    </row>
    <row r="192" spans="6:6" ht="15.75" customHeight="1">
      <c r="F192" s="1"/>
    </row>
    <row r="193" spans="6:6" ht="15.75" customHeight="1">
      <c r="F193" s="1"/>
    </row>
    <row r="194" spans="6:6" ht="15.75" customHeight="1">
      <c r="F194" s="1"/>
    </row>
    <row r="195" spans="6:6" ht="15.75" customHeight="1">
      <c r="F195" s="1"/>
    </row>
    <row r="196" spans="6:6" ht="15.75" customHeight="1">
      <c r="F196" s="1"/>
    </row>
    <row r="197" spans="6:6" ht="15.75" customHeight="1">
      <c r="F197" s="1"/>
    </row>
    <row r="198" spans="6:6" ht="15.75" customHeight="1">
      <c r="F198" s="1"/>
    </row>
    <row r="199" spans="6:6" ht="15.75" customHeight="1">
      <c r="F199" s="1"/>
    </row>
    <row r="200" spans="6:6" ht="15.75" customHeight="1">
      <c r="F200" s="1"/>
    </row>
    <row r="201" spans="6:6" ht="15.75" customHeight="1">
      <c r="F201" s="1"/>
    </row>
    <row r="202" spans="6:6" ht="15.75" customHeight="1">
      <c r="F202" s="1"/>
    </row>
    <row r="203" spans="6:6" ht="15.75" customHeight="1">
      <c r="F203" s="1"/>
    </row>
    <row r="204" spans="6:6" ht="15.75" customHeight="1">
      <c r="F204" s="1"/>
    </row>
    <row r="205" spans="6:6" ht="15.75" customHeight="1">
      <c r="F205" s="1"/>
    </row>
    <row r="206" spans="6:6" ht="15.75" customHeight="1">
      <c r="F206" s="1"/>
    </row>
    <row r="207" spans="6:6" ht="15.75" customHeight="1">
      <c r="F207" s="1"/>
    </row>
    <row r="208" spans="6:6" ht="15.75" customHeight="1">
      <c r="F208" s="1"/>
    </row>
    <row r="209" spans="6:6" ht="15.75" customHeight="1">
      <c r="F209" s="1"/>
    </row>
    <row r="210" spans="6:6" ht="15.75" customHeight="1">
      <c r="F210" s="1"/>
    </row>
    <row r="211" spans="6:6" ht="15.75" customHeight="1">
      <c r="F211" s="1"/>
    </row>
    <row r="212" spans="6:6" ht="15.75" customHeight="1">
      <c r="F212" s="1"/>
    </row>
    <row r="213" spans="6:6" ht="15.75" customHeight="1">
      <c r="F213" s="1"/>
    </row>
    <row r="214" spans="6:6" ht="15.75" customHeight="1">
      <c r="F214" s="1"/>
    </row>
    <row r="215" spans="6:6" ht="15.75" customHeight="1">
      <c r="F215" s="1"/>
    </row>
    <row r="216" spans="6:6" ht="15.75" customHeight="1">
      <c r="F216" s="1"/>
    </row>
    <row r="217" spans="6:6" ht="15.75" customHeight="1">
      <c r="F217" s="1"/>
    </row>
    <row r="218" spans="6:6" ht="15.75" customHeight="1">
      <c r="F218" s="1"/>
    </row>
    <row r="219" spans="6:6" ht="15.75" customHeight="1">
      <c r="F219" s="1"/>
    </row>
    <row r="220" spans="6:6" ht="15.75" customHeight="1">
      <c r="F220" s="1"/>
    </row>
    <row r="221" spans="6:6" ht="15.75" customHeight="1">
      <c r="F221" s="1"/>
    </row>
    <row r="222" spans="6:6" ht="15.75" customHeight="1">
      <c r="F222" s="1"/>
    </row>
    <row r="223" spans="6:6" ht="15.75" customHeight="1">
      <c r="F223" s="1"/>
    </row>
    <row r="224" spans="6:6" ht="15.75" customHeight="1">
      <c r="F224" s="1"/>
    </row>
    <row r="225" spans="6:6" ht="15.75" customHeight="1">
      <c r="F225" s="1"/>
    </row>
    <row r="226" spans="6:6" ht="15.75" customHeight="1">
      <c r="F226" s="1"/>
    </row>
    <row r="227" spans="6:6" ht="15.75" customHeight="1">
      <c r="F227" s="1"/>
    </row>
    <row r="228" spans="6:6" ht="15.75" customHeight="1">
      <c r="F228" s="1"/>
    </row>
    <row r="229" spans="6:6" ht="15.75" customHeight="1">
      <c r="F229" s="1"/>
    </row>
    <row r="230" spans="6:6" ht="15.75" customHeight="1">
      <c r="F230" s="1"/>
    </row>
    <row r="231" spans="6:6" ht="15.75" customHeight="1">
      <c r="F231" s="1"/>
    </row>
    <row r="232" spans="6:6" ht="15.75" customHeight="1">
      <c r="F232" s="1"/>
    </row>
    <row r="233" spans="6:6" ht="15.75" customHeight="1">
      <c r="F233" s="1"/>
    </row>
    <row r="234" spans="6:6" ht="15.75" customHeight="1">
      <c r="F234" s="1"/>
    </row>
    <row r="235" spans="6:6" ht="15.75" customHeight="1">
      <c r="F235" s="1"/>
    </row>
    <row r="236" spans="6:6" ht="15.75" customHeight="1">
      <c r="F236" s="1"/>
    </row>
    <row r="237" spans="6:6" ht="15.75" customHeight="1">
      <c r="F237" s="1"/>
    </row>
    <row r="238" spans="6:6" ht="15.75" customHeight="1">
      <c r="F238" s="1"/>
    </row>
    <row r="239" spans="6:6" ht="15.75" customHeight="1">
      <c r="F239" s="1"/>
    </row>
    <row r="240" spans="6:6" ht="15.75" customHeight="1">
      <c r="F240" s="1"/>
    </row>
    <row r="241" spans="6:6" ht="15.75" customHeight="1">
      <c r="F241" s="1"/>
    </row>
    <row r="242" spans="6:6" ht="15.75" customHeight="1">
      <c r="F242" s="1"/>
    </row>
    <row r="243" spans="6:6" ht="15.75" customHeight="1">
      <c r="F243" s="1"/>
    </row>
    <row r="244" spans="6:6" ht="15.75" customHeight="1">
      <c r="F244" s="1"/>
    </row>
    <row r="245" spans="6:6" ht="15.75" customHeight="1">
      <c r="F245" s="1"/>
    </row>
    <row r="246" spans="6:6" ht="15.75" customHeight="1">
      <c r="F246" s="1"/>
    </row>
    <row r="247" spans="6:6" ht="15.75" customHeight="1">
      <c r="F247" s="1"/>
    </row>
    <row r="248" spans="6:6" ht="15.75" customHeight="1">
      <c r="F248" s="1"/>
    </row>
    <row r="249" spans="6:6" ht="15.75" customHeight="1">
      <c r="F249" s="1"/>
    </row>
    <row r="250" spans="6:6" ht="15.75" customHeight="1">
      <c r="F250" s="1"/>
    </row>
    <row r="251" spans="6:6" ht="15.75" customHeight="1">
      <c r="F251" s="1"/>
    </row>
    <row r="252" spans="6:6" ht="15.75" customHeight="1">
      <c r="F252" s="1"/>
    </row>
    <row r="253" spans="6:6" ht="15.75" customHeight="1">
      <c r="F253" s="1"/>
    </row>
    <row r="254" spans="6:6" ht="15.75" customHeight="1">
      <c r="F254" s="1"/>
    </row>
    <row r="255" spans="6:6" ht="15.75" customHeight="1">
      <c r="F255" s="1"/>
    </row>
    <row r="256" spans="6:6" ht="15.75" customHeight="1">
      <c r="F256" s="1"/>
    </row>
    <row r="257" spans="6:6" ht="15.75" customHeight="1">
      <c r="F257" s="1"/>
    </row>
    <row r="258" spans="6:6" ht="15.75" customHeight="1">
      <c r="F258" s="1"/>
    </row>
    <row r="259" spans="6:6" ht="15.75" customHeight="1">
      <c r="F259" s="1"/>
    </row>
    <row r="260" spans="6:6" ht="15.75" customHeight="1">
      <c r="F260" s="1"/>
    </row>
    <row r="261" spans="6:6" ht="15.75" customHeight="1">
      <c r="F261" s="1"/>
    </row>
    <row r="262" spans="6:6" ht="15.75" customHeight="1">
      <c r="F262" s="1"/>
    </row>
    <row r="263" spans="6:6" ht="15.75" customHeight="1">
      <c r="F263" s="1"/>
    </row>
    <row r="264" spans="6:6" ht="15.75" customHeight="1">
      <c r="F264" s="1"/>
    </row>
    <row r="265" spans="6:6" ht="15.75" customHeight="1">
      <c r="F265" s="1"/>
    </row>
    <row r="266" spans="6:6" ht="15.75" customHeight="1">
      <c r="F266" s="1"/>
    </row>
    <row r="267" spans="6:6" ht="15.75" customHeight="1">
      <c r="F267" s="1"/>
    </row>
    <row r="268" spans="6:6" ht="15.75" customHeight="1">
      <c r="F268" s="1"/>
    </row>
    <row r="269" spans="6:6" ht="15.75" customHeight="1">
      <c r="F269" s="1"/>
    </row>
    <row r="270" spans="6:6" ht="15.75" customHeight="1">
      <c r="F270" s="1"/>
    </row>
    <row r="271" spans="6:6" ht="15.75" customHeight="1">
      <c r="F271" s="1"/>
    </row>
    <row r="272" spans="6:6" ht="15.75" customHeight="1">
      <c r="F272" s="1"/>
    </row>
    <row r="273" spans="6:6" ht="15.75" customHeight="1">
      <c r="F273" s="1"/>
    </row>
    <row r="274" spans="6:6" ht="15.75" customHeight="1">
      <c r="F274" s="1"/>
    </row>
    <row r="275" spans="6:6" ht="15.75" customHeight="1">
      <c r="F275" s="1"/>
    </row>
    <row r="276" spans="6:6" ht="15.75" customHeight="1">
      <c r="F276" s="1"/>
    </row>
    <row r="277" spans="6:6" ht="15.75" customHeight="1">
      <c r="F277" s="1"/>
    </row>
    <row r="278" spans="6:6" ht="15.75" customHeight="1">
      <c r="F278" s="1"/>
    </row>
    <row r="279" spans="6:6" ht="15.75" customHeight="1">
      <c r="F279" s="1"/>
    </row>
    <row r="280" spans="6:6" ht="15.75" customHeight="1">
      <c r="F280" s="1"/>
    </row>
    <row r="281" spans="6:6" ht="15.75" customHeight="1">
      <c r="F281" s="1"/>
    </row>
    <row r="282" spans="6:6" ht="15.75" customHeight="1">
      <c r="F282" s="1"/>
    </row>
    <row r="283" spans="6:6" ht="15.75" customHeight="1">
      <c r="F283" s="1"/>
    </row>
    <row r="284" spans="6:6" ht="15.75" customHeight="1">
      <c r="F284" s="1"/>
    </row>
    <row r="285" spans="6:6" ht="15.75" customHeight="1">
      <c r="F285" s="1"/>
    </row>
    <row r="286" spans="6:6" ht="15.75" customHeight="1">
      <c r="F286" s="1"/>
    </row>
    <row r="287" spans="6:6" ht="15.75" customHeight="1">
      <c r="F287" s="1"/>
    </row>
    <row r="288" spans="6:6" ht="15.75" customHeight="1">
      <c r="F288" s="1"/>
    </row>
    <row r="289" spans="6:6" ht="15.75" customHeight="1">
      <c r="F289" s="1"/>
    </row>
    <row r="290" spans="6:6" ht="15.75" customHeight="1">
      <c r="F290" s="1"/>
    </row>
    <row r="291" spans="6:6" ht="15.75" customHeight="1">
      <c r="F291" s="1"/>
    </row>
    <row r="292" spans="6:6" ht="15.75" customHeight="1">
      <c r="F292" s="1"/>
    </row>
    <row r="293" spans="6:6" ht="15.75" customHeight="1">
      <c r="F293" s="1"/>
    </row>
    <row r="294" spans="6:6" ht="15.75" customHeight="1">
      <c r="F294" s="1"/>
    </row>
    <row r="295" spans="6:6" ht="15.75" customHeight="1">
      <c r="F295" s="1"/>
    </row>
    <row r="296" spans="6:6" ht="15.75" customHeight="1">
      <c r="F296" s="1"/>
    </row>
    <row r="297" spans="6:6" ht="15.75" customHeight="1">
      <c r="F297" s="1"/>
    </row>
    <row r="298" spans="6:6" ht="15.75" customHeight="1">
      <c r="F298" s="1"/>
    </row>
    <row r="299" spans="6:6" ht="15.75" customHeight="1">
      <c r="F299" s="1"/>
    </row>
    <row r="300" spans="6:6" ht="15.75" customHeight="1">
      <c r="F300" s="1"/>
    </row>
    <row r="301" spans="6:6" ht="15.75" customHeight="1">
      <c r="F301" s="1"/>
    </row>
    <row r="302" spans="6:6" ht="15.75" customHeight="1">
      <c r="F302" s="1"/>
    </row>
    <row r="303" spans="6:6" ht="15.75" customHeight="1">
      <c r="F303" s="1"/>
    </row>
    <row r="304" spans="6:6" ht="15.75" customHeight="1">
      <c r="F304" s="1"/>
    </row>
    <row r="305" spans="6:6" ht="15.75" customHeight="1">
      <c r="F305" s="1"/>
    </row>
    <row r="306" spans="6:6" ht="15.75" customHeight="1">
      <c r="F306" s="1"/>
    </row>
    <row r="307" spans="6:6" ht="15.75" customHeight="1">
      <c r="F307" s="1"/>
    </row>
    <row r="308" spans="6:6" ht="15.75" customHeight="1">
      <c r="F308" s="1"/>
    </row>
    <row r="309" spans="6:6" ht="15.75" customHeight="1">
      <c r="F309" s="1"/>
    </row>
    <row r="310" spans="6:6" ht="15.75" customHeight="1">
      <c r="F310" s="1"/>
    </row>
    <row r="311" spans="6:6" ht="15.75" customHeight="1">
      <c r="F311" s="1"/>
    </row>
    <row r="312" spans="6:6" ht="15.75" customHeight="1">
      <c r="F312" s="1"/>
    </row>
    <row r="313" spans="6:6" ht="15.75" customHeight="1">
      <c r="F313" s="1"/>
    </row>
    <row r="314" spans="6:6" ht="15.75" customHeight="1">
      <c r="F314" s="1"/>
    </row>
    <row r="315" spans="6:6" ht="15.75" customHeight="1">
      <c r="F315" s="1"/>
    </row>
    <row r="316" spans="6:6" ht="15.75" customHeight="1">
      <c r="F316" s="1"/>
    </row>
    <row r="317" spans="6:6" ht="15.75" customHeight="1">
      <c r="F317" s="1"/>
    </row>
    <row r="318" spans="6:6" ht="15.75" customHeight="1">
      <c r="F318" s="1"/>
    </row>
    <row r="319" spans="6:6" ht="15.75" customHeight="1">
      <c r="F319" s="1"/>
    </row>
    <row r="320" spans="6:6" ht="15.75" customHeight="1">
      <c r="F320" s="1"/>
    </row>
    <row r="321" spans="6:6" ht="15.75" customHeight="1">
      <c r="F321" s="1"/>
    </row>
    <row r="322" spans="6:6" ht="15.75" customHeight="1">
      <c r="F322" s="1"/>
    </row>
    <row r="323" spans="6:6" ht="15.75" customHeight="1">
      <c r="F323" s="1"/>
    </row>
    <row r="324" spans="6:6" ht="15.75" customHeight="1">
      <c r="F324" s="1"/>
    </row>
    <row r="325" spans="6:6" ht="15.75" customHeight="1">
      <c r="F325" s="1"/>
    </row>
    <row r="326" spans="6:6" ht="15.75" customHeight="1">
      <c r="F326" s="1"/>
    </row>
    <row r="327" spans="6:6" ht="15.75" customHeight="1">
      <c r="F327" s="1"/>
    </row>
    <row r="328" spans="6:6" ht="15.75" customHeight="1">
      <c r="F328" s="1"/>
    </row>
    <row r="329" spans="6:6" ht="15.75" customHeight="1">
      <c r="F329" s="1"/>
    </row>
    <row r="330" spans="6:6" ht="15.75" customHeight="1">
      <c r="F330" s="1"/>
    </row>
    <row r="331" spans="6:6" ht="15.75" customHeight="1">
      <c r="F331" s="1"/>
    </row>
    <row r="332" spans="6:6" ht="15.75" customHeight="1">
      <c r="F332" s="1"/>
    </row>
    <row r="333" spans="6:6" ht="15.75" customHeight="1">
      <c r="F333" s="1"/>
    </row>
    <row r="334" spans="6:6" ht="15.75" customHeight="1">
      <c r="F334" s="1"/>
    </row>
    <row r="335" spans="6:6" ht="15.75" customHeight="1">
      <c r="F335" s="1"/>
    </row>
    <row r="336" spans="6:6" ht="15.75" customHeight="1">
      <c r="F336" s="1"/>
    </row>
    <row r="337" spans="6:6" ht="15.75" customHeight="1">
      <c r="F337" s="1"/>
    </row>
    <row r="338" spans="6:6" ht="15.75" customHeight="1">
      <c r="F338" s="1"/>
    </row>
    <row r="339" spans="6:6" ht="15.75" customHeight="1">
      <c r="F339" s="1"/>
    </row>
    <row r="340" spans="6:6" ht="15.75" customHeight="1">
      <c r="F340" s="1"/>
    </row>
    <row r="341" spans="6:6" ht="15.75" customHeight="1">
      <c r="F341" s="1"/>
    </row>
    <row r="342" spans="6:6" ht="15.75" customHeight="1">
      <c r="F342" s="1"/>
    </row>
    <row r="343" spans="6:6" ht="15.75" customHeight="1">
      <c r="F343" s="1"/>
    </row>
    <row r="344" spans="6:6" ht="15.75" customHeight="1">
      <c r="F344" s="1"/>
    </row>
    <row r="345" spans="6:6" ht="15.75" customHeight="1">
      <c r="F345" s="1"/>
    </row>
    <row r="346" spans="6:6" ht="15.75" customHeight="1">
      <c r="F346" s="1"/>
    </row>
    <row r="347" spans="6:6" ht="15.75" customHeight="1">
      <c r="F347" s="1"/>
    </row>
    <row r="348" spans="6:6" ht="15.75" customHeight="1">
      <c r="F348" s="1"/>
    </row>
    <row r="349" spans="6:6" ht="15.75" customHeight="1">
      <c r="F349" s="1"/>
    </row>
    <row r="350" spans="6:6" ht="15.75" customHeight="1">
      <c r="F350" s="1"/>
    </row>
    <row r="351" spans="6:6" ht="15.75" customHeight="1">
      <c r="F351" s="1"/>
    </row>
    <row r="352" spans="6:6" ht="15.75" customHeight="1">
      <c r="F352" s="1"/>
    </row>
    <row r="353" spans="6:6" ht="15.75" customHeight="1">
      <c r="F353" s="1"/>
    </row>
    <row r="354" spans="6:6" ht="15.75" customHeight="1">
      <c r="F354" s="1"/>
    </row>
    <row r="355" spans="6:6" ht="15.75" customHeight="1">
      <c r="F355" s="1"/>
    </row>
    <row r="356" spans="6:6" ht="15.75" customHeight="1">
      <c r="F356" s="1"/>
    </row>
    <row r="357" spans="6:6" ht="15.75" customHeight="1">
      <c r="F357" s="1"/>
    </row>
    <row r="358" spans="6:6" ht="15.75" customHeight="1">
      <c r="F358" s="1"/>
    </row>
    <row r="359" spans="6:6" ht="15.75" customHeight="1">
      <c r="F359" s="1"/>
    </row>
    <row r="360" spans="6:6" ht="15.75" customHeight="1">
      <c r="F360" s="1"/>
    </row>
    <row r="361" spans="6:6" ht="15.75" customHeight="1">
      <c r="F361" s="1"/>
    </row>
    <row r="362" spans="6:6" ht="15.75" customHeight="1">
      <c r="F362" s="1"/>
    </row>
    <row r="363" spans="6:6" ht="15.75" customHeight="1">
      <c r="F363" s="1"/>
    </row>
    <row r="364" spans="6:6" ht="15.75" customHeight="1">
      <c r="F364" s="1"/>
    </row>
    <row r="365" spans="6:6" ht="15.75" customHeight="1">
      <c r="F365" s="1"/>
    </row>
    <row r="366" spans="6:6" ht="15.75" customHeight="1">
      <c r="F366" s="1"/>
    </row>
    <row r="367" spans="6:6" ht="15.75" customHeight="1">
      <c r="F367" s="1"/>
    </row>
    <row r="368" spans="6:6" ht="15.75" customHeight="1">
      <c r="F368" s="1"/>
    </row>
    <row r="369" spans="6:6" ht="15.75" customHeight="1">
      <c r="F369" s="1"/>
    </row>
    <row r="370" spans="6:6" ht="15.75" customHeight="1">
      <c r="F370" s="1"/>
    </row>
    <row r="371" spans="6:6" ht="15.75" customHeight="1">
      <c r="F371" s="1"/>
    </row>
    <row r="372" spans="6:6" ht="15.75" customHeight="1">
      <c r="F372" s="1"/>
    </row>
    <row r="373" spans="6:6" ht="15.75" customHeight="1">
      <c r="F373" s="1"/>
    </row>
    <row r="374" spans="6:6" ht="15.75" customHeight="1">
      <c r="F374" s="1"/>
    </row>
    <row r="375" spans="6:6" ht="15.75" customHeight="1">
      <c r="F375" s="1"/>
    </row>
    <row r="376" spans="6:6" ht="15.75" customHeight="1">
      <c r="F376" s="1"/>
    </row>
    <row r="377" spans="6:6" ht="15.75" customHeight="1">
      <c r="F377" s="1"/>
    </row>
    <row r="378" spans="6:6" ht="15.75" customHeight="1">
      <c r="F378" s="1"/>
    </row>
    <row r="379" spans="6:6" ht="15.75" customHeight="1">
      <c r="F379" s="1"/>
    </row>
    <row r="380" spans="6:6" ht="15.75" customHeight="1">
      <c r="F380" s="1"/>
    </row>
    <row r="381" spans="6:6" ht="15.75" customHeight="1">
      <c r="F381" s="1"/>
    </row>
    <row r="382" spans="6:6" ht="15.75" customHeight="1">
      <c r="F382" s="1"/>
    </row>
    <row r="383" spans="6:6" ht="15.75" customHeight="1">
      <c r="F383" s="1"/>
    </row>
    <row r="384" spans="6:6" ht="15.75" customHeight="1">
      <c r="F384" s="1"/>
    </row>
    <row r="385" spans="6:6" ht="15.75" customHeight="1">
      <c r="F385" s="1"/>
    </row>
    <row r="386" spans="6:6" ht="15.75" customHeight="1">
      <c r="F386" s="1"/>
    </row>
    <row r="387" spans="6:6" ht="15.75" customHeight="1">
      <c r="F387" s="1"/>
    </row>
    <row r="388" spans="6:6" ht="15.75" customHeight="1">
      <c r="F388" s="1"/>
    </row>
    <row r="389" spans="6:6" ht="15.75" customHeight="1">
      <c r="F389" s="1"/>
    </row>
    <row r="390" spans="6:6" ht="15.75" customHeight="1">
      <c r="F390" s="1"/>
    </row>
    <row r="391" spans="6:6" ht="15.75" customHeight="1">
      <c r="F391" s="1"/>
    </row>
    <row r="392" spans="6:6" ht="15.75" customHeight="1">
      <c r="F392" s="1"/>
    </row>
    <row r="393" spans="6:6" ht="15.75" customHeight="1">
      <c r="F393" s="1"/>
    </row>
    <row r="394" spans="6:6" ht="15.75" customHeight="1">
      <c r="F394" s="1"/>
    </row>
    <row r="395" spans="6:6" ht="15.75" customHeight="1">
      <c r="F395" s="1"/>
    </row>
    <row r="396" spans="6:6" ht="15.75" customHeight="1">
      <c r="F396" s="1"/>
    </row>
    <row r="397" spans="6:6" ht="15.75" customHeight="1">
      <c r="F397" s="1"/>
    </row>
    <row r="398" spans="6:6" ht="15.75" customHeight="1">
      <c r="F398" s="1"/>
    </row>
    <row r="399" spans="6:6" ht="15.75" customHeight="1">
      <c r="F399" s="1"/>
    </row>
    <row r="400" spans="6:6" ht="15.75" customHeight="1">
      <c r="F400" s="1"/>
    </row>
    <row r="401" spans="6:6" ht="15.75" customHeight="1">
      <c r="F401" s="1"/>
    </row>
    <row r="402" spans="6:6" ht="15.75" customHeight="1">
      <c r="F402" s="1"/>
    </row>
    <row r="403" spans="6:6" ht="15.75" customHeight="1">
      <c r="F403" s="1"/>
    </row>
    <row r="404" spans="6:6" ht="15.75" customHeight="1">
      <c r="F404" s="1"/>
    </row>
    <row r="405" spans="6:6" ht="15.75" customHeight="1">
      <c r="F405" s="1"/>
    </row>
    <row r="406" spans="6:6" ht="15.75" customHeight="1">
      <c r="F406" s="1"/>
    </row>
    <row r="407" spans="6:6" ht="15.75" customHeight="1">
      <c r="F407" s="1"/>
    </row>
    <row r="408" spans="6:6" ht="15.75" customHeight="1">
      <c r="F408" s="1"/>
    </row>
    <row r="409" spans="6:6" ht="15.75" customHeight="1">
      <c r="F409" s="1"/>
    </row>
    <row r="410" spans="6:6" ht="15.75" customHeight="1">
      <c r="F410" s="1"/>
    </row>
    <row r="411" spans="6:6" ht="15.75" customHeight="1">
      <c r="F411" s="1"/>
    </row>
    <row r="412" spans="6:6" ht="15.75" customHeight="1">
      <c r="F412" s="1"/>
    </row>
    <row r="413" spans="6:6" ht="15.75" customHeight="1">
      <c r="F413" s="1"/>
    </row>
    <row r="414" spans="6:6" ht="15.75" customHeight="1">
      <c r="F414" s="1"/>
    </row>
    <row r="415" spans="6:6" ht="15.75" customHeight="1">
      <c r="F415" s="1"/>
    </row>
    <row r="416" spans="6:6" ht="15.75" customHeight="1">
      <c r="F416" s="1"/>
    </row>
    <row r="417" spans="6:6" ht="15.75" customHeight="1">
      <c r="F417" s="1"/>
    </row>
    <row r="418" spans="6:6" ht="15.75" customHeight="1">
      <c r="F418" s="1"/>
    </row>
    <row r="419" spans="6:6" ht="15.75" customHeight="1">
      <c r="F419" s="1"/>
    </row>
    <row r="420" spans="6:6" ht="15.75" customHeight="1">
      <c r="F420" s="1"/>
    </row>
    <row r="421" spans="6:6" ht="15.75" customHeight="1">
      <c r="F421" s="1"/>
    </row>
    <row r="422" spans="6:6" ht="15.75" customHeight="1">
      <c r="F422" s="1"/>
    </row>
    <row r="423" spans="6:6" ht="15.75" customHeight="1">
      <c r="F423" s="1"/>
    </row>
    <row r="424" spans="6:6" ht="15.75" customHeight="1">
      <c r="F424" s="1"/>
    </row>
    <row r="425" spans="6:6" ht="15.75" customHeight="1">
      <c r="F425" s="1"/>
    </row>
    <row r="426" spans="6:6" ht="15.75" customHeight="1">
      <c r="F426" s="1"/>
    </row>
    <row r="427" spans="6:6" ht="15.75" customHeight="1">
      <c r="F427" s="1"/>
    </row>
    <row r="428" spans="6:6" ht="15.75" customHeight="1">
      <c r="F428" s="1"/>
    </row>
    <row r="429" spans="6:6" ht="15.75" customHeight="1">
      <c r="F429" s="1"/>
    </row>
    <row r="430" spans="6:6" ht="15.75" customHeight="1">
      <c r="F430" s="1"/>
    </row>
    <row r="431" spans="6:6" ht="15.75" customHeight="1">
      <c r="F431" s="1"/>
    </row>
    <row r="432" spans="6:6" ht="15.75" customHeight="1">
      <c r="F432" s="1"/>
    </row>
    <row r="433" spans="6:6" ht="15.75" customHeight="1">
      <c r="F433" s="1"/>
    </row>
    <row r="434" spans="6:6" ht="15.75" customHeight="1">
      <c r="F434" s="1"/>
    </row>
    <row r="435" spans="6:6" ht="15.75" customHeight="1">
      <c r="F435" s="1"/>
    </row>
    <row r="436" spans="6:6" ht="15.75" customHeight="1">
      <c r="F436" s="1"/>
    </row>
    <row r="437" spans="6:6" ht="15.75" customHeight="1">
      <c r="F437" s="1"/>
    </row>
    <row r="438" spans="6:6" ht="15.75" customHeight="1">
      <c r="F438" s="1"/>
    </row>
    <row r="439" spans="6:6" ht="15.75" customHeight="1">
      <c r="F439" s="1"/>
    </row>
    <row r="440" spans="6:6" ht="15.75" customHeight="1">
      <c r="F440" s="1"/>
    </row>
    <row r="441" spans="6:6" ht="15.75" customHeight="1">
      <c r="F441" s="1"/>
    </row>
    <row r="442" spans="6:6" ht="15.75" customHeight="1">
      <c r="F442" s="1"/>
    </row>
    <row r="443" spans="6:6" ht="15.75" customHeight="1">
      <c r="F443" s="1"/>
    </row>
    <row r="444" spans="6:6" ht="15.75" customHeight="1">
      <c r="F444" s="1"/>
    </row>
    <row r="445" spans="6:6" ht="15.75" customHeight="1">
      <c r="F445" s="1"/>
    </row>
    <row r="446" spans="6:6" ht="15.75" customHeight="1">
      <c r="F446" s="1"/>
    </row>
    <row r="447" spans="6:6" ht="15.75" customHeight="1">
      <c r="F447" s="1"/>
    </row>
    <row r="448" spans="6:6" ht="15.75" customHeight="1">
      <c r="F448" s="1"/>
    </row>
    <row r="449" spans="6:6" ht="15.75" customHeight="1">
      <c r="F449" s="1"/>
    </row>
    <row r="450" spans="6:6" ht="15.75" customHeight="1">
      <c r="F450" s="1"/>
    </row>
    <row r="451" spans="6:6" ht="15.75" customHeight="1">
      <c r="F451" s="1"/>
    </row>
    <row r="452" spans="6:6" ht="15.75" customHeight="1">
      <c r="F452" s="1"/>
    </row>
    <row r="453" spans="6:6" ht="15.75" customHeight="1">
      <c r="F453" s="1"/>
    </row>
    <row r="454" spans="6:6" ht="15.75" customHeight="1">
      <c r="F454" s="1"/>
    </row>
    <row r="455" spans="6:6" ht="15.75" customHeight="1">
      <c r="F455" s="1"/>
    </row>
    <row r="456" spans="6:6" ht="15.75" customHeight="1">
      <c r="F456" s="1"/>
    </row>
    <row r="457" spans="6:6" ht="15.75" customHeight="1">
      <c r="F457" s="1"/>
    </row>
    <row r="458" spans="6:6" ht="15.75" customHeight="1">
      <c r="F458" s="1"/>
    </row>
    <row r="459" spans="6:6" ht="15.75" customHeight="1">
      <c r="F459" s="1"/>
    </row>
    <row r="460" spans="6:6" ht="15.75" customHeight="1">
      <c r="F460" s="1"/>
    </row>
    <row r="461" spans="6:6" ht="15.75" customHeight="1">
      <c r="F461" s="1"/>
    </row>
    <row r="462" spans="6:6" ht="15.75" customHeight="1">
      <c r="F462" s="1"/>
    </row>
    <row r="463" spans="6:6" ht="15.75" customHeight="1">
      <c r="F463" s="1"/>
    </row>
    <row r="464" spans="6:6" ht="15.75" customHeight="1">
      <c r="F464" s="1"/>
    </row>
    <row r="465" spans="6:6" ht="15.75" customHeight="1">
      <c r="F465" s="1"/>
    </row>
    <row r="466" spans="6:6" ht="15.75" customHeight="1">
      <c r="F466" s="1"/>
    </row>
    <row r="467" spans="6:6" ht="15.75" customHeight="1">
      <c r="F467" s="1"/>
    </row>
    <row r="468" spans="6:6" ht="15.75" customHeight="1">
      <c r="F468" s="1"/>
    </row>
    <row r="469" spans="6:6" ht="15.75" customHeight="1">
      <c r="F469" s="1"/>
    </row>
    <row r="470" spans="6:6" ht="15.75" customHeight="1">
      <c r="F470" s="1"/>
    </row>
    <row r="471" spans="6:6" ht="15.75" customHeight="1">
      <c r="F471" s="1"/>
    </row>
    <row r="472" spans="6:6" ht="15.75" customHeight="1">
      <c r="F472" s="1"/>
    </row>
    <row r="473" spans="6:6" ht="15.75" customHeight="1">
      <c r="F473" s="1"/>
    </row>
    <row r="474" spans="6:6" ht="15.75" customHeight="1">
      <c r="F474" s="1"/>
    </row>
    <row r="475" spans="6:6" ht="15.75" customHeight="1">
      <c r="F475" s="1"/>
    </row>
    <row r="476" spans="6:6" ht="15.75" customHeight="1">
      <c r="F476" s="1"/>
    </row>
    <row r="477" spans="6:6" ht="15.75" customHeight="1">
      <c r="F477" s="1"/>
    </row>
    <row r="478" spans="6:6" ht="15.75" customHeight="1">
      <c r="F478" s="1"/>
    </row>
    <row r="479" spans="6:6" ht="15.75" customHeight="1">
      <c r="F479" s="1"/>
    </row>
    <row r="480" spans="6:6" ht="15.75" customHeight="1">
      <c r="F480" s="1"/>
    </row>
    <row r="481" spans="6:6" ht="15.75" customHeight="1">
      <c r="F481" s="1"/>
    </row>
    <row r="482" spans="6:6" ht="15.75" customHeight="1">
      <c r="F482" s="1"/>
    </row>
    <row r="483" spans="6:6" ht="15.75" customHeight="1">
      <c r="F483" s="1"/>
    </row>
    <row r="484" spans="6:6" ht="15.75" customHeight="1">
      <c r="F484" s="1"/>
    </row>
    <row r="485" spans="6:6" ht="15.75" customHeight="1">
      <c r="F485" s="1"/>
    </row>
    <row r="486" spans="6:6" ht="15.75" customHeight="1">
      <c r="F486" s="1"/>
    </row>
    <row r="487" spans="6:6" ht="15.75" customHeight="1">
      <c r="F487" s="1"/>
    </row>
    <row r="488" spans="6:6" ht="15.75" customHeight="1">
      <c r="F488" s="1"/>
    </row>
    <row r="489" spans="6:6" ht="15.75" customHeight="1">
      <c r="F489" s="1"/>
    </row>
    <row r="490" spans="6:6" ht="15.75" customHeight="1">
      <c r="F490" s="1"/>
    </row>
    <row r="491" spans="6:6" ht="15.75" customHeight="1">
      <c r="F491" s="1"/>
    </row>
    <row r="492" spans="6:6" ht="15.75" customHeight="1">
      <c r="F492" s="1"/>
    </row>
    <row r="493" spans="6:6" ht="15.75" customHeight="1">
      <c r="F493" s="1"/>
    </row>
    <row r="494" spans="6:6" ht="15.75" customHeight="1">
      <c r="F494" s="1"/>
    </row>
    <row r="495" spans="6:6" ht="15.75" customHeight="1">
      <c r="F495" s="1"/>
    </row>
    <row r="496" spans="6:6" ht="15.75" customHeight="1">
      <c r="F496" s="1"/>
    </row>
    <row r="497" spans="6:6" ht="15.75" customHeight="1">
      <c r="F497" s="1"/>
    </row>
    <row r="498" spans="6:6" ht="15.75" customHeight="1">
      <c r="F498" s="1"/>
    </row>
    <row r="499" spans="6:6" ht="15.75" customHeight="1">
      <c r="F499" s="1"/>
    </row>
    <row r="500" spans="6:6" ht="15.75" customHeight="1">
      <c r="F500" s="1"/>
    </row>
    <row r="501" spans="6:6" ht="15.75" customHeight="1">
      <c r="F501" s="1"/>
    </row>
    <row r="502" spans="6:6" ht="15.75" customHeight="1">
      <c r="F502" s="1"/>
    </row>
    <row r="503" spans="6:6" ht="15.75" customHeight="1">
      <c r="F503" s="1"/>
    </row>
    <row r="504" spans="6:6" ht="15.75" customHeight="1">
      <c r="F504" s="1"/>
    </row>
    <row r="505" spans="6:6" ht="15.75" customHeight="1">
      <c r="F505" s="1"/>
    </row>
    <row r="506" spans="6:6" ht="15.75" customHeight="1">
      <c r="F506" s="1"/>
    </row>
    <row r="507" spans="6:6" ht="15.75" customHeight="1">
      <c r="F507" s="1"/>
    </row>
    <row r="508" spans="6:6" ht="15.75" customHeight="1">
      <c r="F508" s="1"/>
    </row>
    <row r="509" spans="6:6" ht="15.75" customHeight="1">
      <c r="F509" s="1"/>
    </row>
    <row r="510" spans="6:6" ht="15.75" customHeight="1">
      <c r="F510" s="1"/>
    </row>
    <row r="511" spans="6:6" ht="15.75" customHeight="1">
      <c r="F511" s="1"/>
    </row>
    <row r="512" spans="6:6" ht="15.75" customHeight="1">
      <c r="F512" s="1"/>
    </row>
    <row r="513" spans="6:6" ht="15.75" customHeight="1">
      <c r="F513" s="1"/>
    </row>
    <row r="514" spans="6:6" ht="15.75" customHeight="1">
      <c r="F514" s="1"/>
    </row>
    <row r="515" spans="6:6" ht="15.75" customHeight="1">
      <c r="F515" s="1"/>
    </row>
    <row r="516" spans="6:6" ht="15.75" customHeight="1">
      <c r="F516" s="1"/>
    </row>
    <row r="517" spans="6:6" ht="15.75" customHeight="1">
      <c r="F517" s="1"/>
    </row>
    <row r="518" spans="6:6" ht="15.75" customHeight="1">
      <c r="F518" s="1"/>
    </row>
    <row r="519" spans="6:6" ht="15.75" customHeight="1">
      <c r="F519" s="1"/>
    </row>
    <row r="520" spans="6:6" ht="15.75" customHeight="1">
      <c r="F520" s="1"/>
    </row>
    <row r="521" spans="6:6" ht="15.75" customHeight="1">
      <c r="F521" s="1"/>
    </row>
    <row r="522" spans="6:6" ht="15.75" customHeight="1">
      <c r="F522" s="1"/>
    </row>
    <row r="523" spans="6:6" ht="15.75" customHeight="1">
      <c r="F523" s="1"/>
    </row>
    <row r="524" spans="6:6" ht="15.75" customHeight="1">
      <c r="F524" s="1"/>
    </row>
    <row r="525" spans="6:6" ht="15.75" customHeight="1">
      <c r="F525" s="1"/>
    </row>
    <row r="526" spans="6:6" ht="15.75" customHeight="1">
      <c r="F526" s="1"/>
    </row>
    <row r="527" spans="6:6" ht="15.75" customHeight="1">
      <c r="F527" s="1"/>
    </row>
    <row r="528" spans="6:6" ht="15.75" customHeight="1">
      <c r="F528" s="1"/>
    </row>
    <row r="529" spans="6:6" ht="15.75" customHeight="1">
      <c r="F529" s="1"/>
    </row>
    <row r="530" spans="6:6" ht="15.75" customHeight="1">
      <c r="F530" s="1"/>
    </row>
    <row r="531" spans="6:6" ht="15.75" customHeight="1">
      <c r="F531" s="1"/>
    </row>
    <row r="532" spans="6:6" ht="15.75" customHeight="1">
      <c r="F532" s="1"/>
    </row>
    <row r="533" spans="6:6" ht="15.75" customHeight="1">
      <c r="F533" s="1"/>
    </row>
    <row r="534" spans="6:6" ht="15.75" customHeight="1">
      <c r="F534" s="1"/>
    </row>
    <row r="535" spans="6:6" ht="15.75" customHeight="1">
      <c r="F535" s="1"/>
    </row>
    <row r="536" spans="6:6" ht="15.75" customHeight="1">
      <c r="F536" s="1"/>
    </row>
    <row r="537" spans="6:6" ht="15.75" customHeight="1">
      <c r="F537" s="1"/>
    </row>
    <row r="538" spans="6:6" ht="15.75" customHeight="1">
      <c r="F538" s="1"/>
    </row>
    <row r="539" spans="6:6" ht="15.75" customHeight="1">
      <c r="F539" s="1"/>
    </row>
    <row r="540" spans="6:6" ht="15.75" customHeight="1">
      <c r="F540" s="1"/>
    </row>
    <row r="541" spans="6:6" ht="15.75" customHeight="1">
      <c r="F541" s="1"/>
    </row>
    <row r="542" spans="6:6" ht="15.75" customHeight="1">
      <c r="F542" s="1"/>
    </row>
    <row r="543" spans="6:6" ht="15.75" customHeight="1">
      <c r="F543" s="1"/>
    </row>
    <row r="544" spans="6:6" ht="15.75" customHeight="1">
      <c r="F544" s="1"/>
    </row>
    <row r="545" spans="6:6" ht="15.75" customHeight="1">
      <c r="F545" s="1"/>
    </row>
    <row r="546" spans="6:6" ht="15.75" customHeight="1">
      <c r="F546" s="1"/>
    </row>
    <row r="547" spans="6:6" ht="15.75" customHeight="1">
      <c r="F547" s="1"/>
    </row>
    <row r="548" spans="6:6" ht="15.75" customHeight="1">
      <c r="F548" s="1"/>
    </row>
    <row r="549" spans="6:6" ht="15.75" customHeight="1">
      <c r="F549" s="1"/>
    </row>
    <row r="550" spans="6:6" ht="15.75" customHeight="1">
      <c r="F550" s="1"/>
    </row>
    <row r="551" spans="6:6" ht="15.75" customHeight="1">
      <c r="F551" s="1"/>
    </row>
    <row r="552" spans="6:6" ht="15.75" customHeight="1">
      <c r="F552" s="1"/>
    </row>
    <row r="553" spans="6:6" ht="15.75" customHeight="1">
      <c r="F553" s="1"/>
    </row>
    <row r="554" spans="6:6" ht="15.75" customHeight="1">
      <c r="F554" s="1"/>
    </row>
    <row r="555" spans="6:6" ht="15.75" customHeight="1">
      <c r="F555" s="1"/>
    </row>
    <row r="556" spans="6:6" ht="15.75" customHeight="1">
      <c r="F556" s="1"/>
    </row>
    <row r="557" spans="6:6" ht="15.75" customHeight="1">
      <c r="F557" s="1"/>
    </row>
    <row r="558" spans="6:6" ht="15.75" customHeight="1">
      <c r="F558" s="1"/>
    </row>
    <row r="559" spans="6:6" ht="15.75" customHeight="1">
      <c r="F559" s="1"/>
    </row>
    <row r="560" spans="6:6" ht="15.75" customHeight="1">
      <c r="F560" s="1"/>
    </row>
    <row r="561" spans="6:6" ht="15.75" customHeight="1">
      <c r="F561" s="1"/>
    </row>
    <row r="562" spans="6:6" ht="15.75" customHeight="1">
      <c r="F562" s="1"/>
    </row>
    <row r="563" spans="6:6" ht="15.75" customHeight="1">
      <c r="F563" s="1"/>
    </row>
    <row r="564" spans="6:6" ht="15.75" customHeight="1">
      <c r="F564" s="1"/>
    </row>
    <row r="565" spans="6:6" ht="15.75" customHeight="1">
      <c r="F565" s="1"/>
    </row>
    <row r="566" spans="6:6" ht="15.75" customHeight="1">
      <c r="F566" s="1"/>
    </row>
    <row r="567" spans="6:6" ht="15.75" customHeight="1">
      <c r="F567" s="1"/>
    </row>
    <row r="568" spans="6:6" ht="15.75" customHeight="1">
      <c r="F568" s="1"/>
    </row>
    <row r="569" spans="6:6" ht="15.75" customHeight="1">
      <c r="F569" s="1"/>
    </row>
    <row r="570" spans="6:6" ht="15.75" customHeight="1">
      <c r="F570" s="1"/>
    </row>
    <row r="571" spans="6:6" ht="15.75" customHeight="1">
      <c r="F571" s="1"/>
    </row>
    <row r="572" spans="6:6" ht="15.75" customHeight="1">
      <c r="F572" s="1"/>
    </row>
    <row r="573" spans="6:6" ht="15.75" customHeight="1">
      <c r="F573" s="1"/>
    </row>
    <row r="574" spans="6:6" ht="15.75" customHeight="1">
      <c r="F574" s="1"/>
    </row>
    <row r="575" spans="6:6" ht="15.75" customHeight="1">
      <c r="F575" s="1"/>
    </row>
    <row r="576" spans="6:6" ht="15.75" customHeight="1">
      <c r="F576" s="1"/>
    </row>
    <row r="577" spans="6:6" ht="15.75" customHeight="1">
      <c r="F577" s="1"/>
    </row>
    <row r="578" spans="6:6" ht="15.75" customHeight="1">
      <c r="F578" s="1"/>
    </row>
    <row r="579" spans="6:6" ht="15.75" customHeight="1">
      <c r="F579" s="1"/>
    </row>
    <row r="580" spans="6:6" ht="15.75" customHeight="1">
      <c r="F580" s="1"/>
    </row>
    <row r="581" spans="6:6" ht="15.75" customHeight="1">
      <c r="F581" s="1"/>
    </row>
    <row r="582" spans="6:6" ht="15.75" customHeight="1">
      <c r="F582" s="1"/>
    </row>
    <row r="583" spans="6:6" ht="15.75" customHeight="1">
      <c r="F583" s="1"/>
    </row>
    <row r="584" spans="6:6" ht="15.75" customHeight="1">
      <c r="F584" s="1"/>
    </row>
    <row r="585" spans="6:6" ht="15.75" customHeight="1">
      <c r="F585" s="1"/>
    </row>
    <row r="586" spans="6:6" ht="15.75" customHeight="1">
      <c r="F586" s="1"/>
    </row>
    <row r="587" spans="6:6" ht="15.75" customHeight="1">
      <c r="F587" s="1"/>
    </row>
    <row r="588" spans="6:6" ht="15.75" customHeight="1">
      <c r="F588" s="1"/>
    </row>
    <row r="589" spans="6:6" ht="15.75" customHeight="1">
      <c r="F589" s="1"/>
    </row>
    <row r="590" spans="6:6" ht="15.75" customHeight="1">
      <c r="F590" s="1"/>
    </row>
    <row r="591" spans="6:6" ht="15.75" customHeight="1">
      <c r="F591" s="1"/>
    </row>
    <row r="592" spans="6:6" ht="15.75" customHeight="1">
      <c r="F592" s="1"/>
    </row>
    <row r="593" spans="6:6" ht="15.75" customHeight="1">
      <c r="F593" s="1"/>
    </row>
    <row r="594" spans="6:6" ht="15.75" customHeight="1">
      <c r="F594" s="1"/>
    </row>
    <row r="595" spans="6:6" ht="15.75" customHeight="1">
      <c r="F595" s="1"/>
    </row>
    <row r="596" spans="6:6" ht="15.75" customHeight="1">
      <c r="F596" s="1"/>
    </row>
    <row r="597" spans="6:6" ht="15.75" customHeight="1">
      <c r="F597" s="1"/>
    </row>
    <row r="598" spans="6:6" ht="15.75" customHeight="1">
      <c r="F598" s="1"/>
    </row>
    <row r="599" spans="6:6" ht="15.75" customHeight="1">
      <c r="F599" s="1"/>
    </row>
    <row r="600" spans="6:6" ht="15.75" customHeight="1">
      <c r="F600" s="1"/>
    </row>
    <row r="601" spans="6:6" ht="15.75" customHeight="1">
      <c r="F601" s="1"/>
    </row>
    <row r="602" spans="6:6" ht="15.75" customHeight="1">
      <c r="F602" s="1"/>
    </row>
    <row r="603" spans="6:6" ht="15.75" customHeight="1">
      <c r="F603" s="1"/>
    </row>
    <row r="604" spans="6:6" ht="15.75" customHeight="1">
      <c r="F604" s="1"/>
    </row>
    <row r="605" spans="6:6" ht="15.75" customHeight="1">
      <c r="F605" s="1"/>
    </row>
    <row r="606" spans="6:6" ht="15.75" customHeight="1">
      <c r="F606" s="1"/>
    </row>
    <row r="607" spans="6:6" ht="15.75" customHeight="1">
      <c r="F607" s="1"/>
    </row>
    <row r="608" spans="6:6" ht="15.75" customHeight="1">
      <c r="F608" s="1"/>
    </row>
    <row r="609" spans="6:6" ht="15.75" customHeight="1">
      <c r="F609" s="1"/>
    </row>
    <row r="610" spans="6:6" ht="15.75" customHeight="1">
      <c r="F610" s="1"/>
    </row>
    <row r="611" spans="6:6" ht="15.75" customHeight="1">
      <c r="F611" s="1"/>
    </row>
    <row r="612" spans="6:6" ht="15.75" customHeight="1">
      <c r="F612" s="1"/>
    </row>
    <row r="613" spans="6:6" ht="15.75" customHeight="1">
      <c r="F613" s="1"/>
    </row>
    <row r="614" spans="6:6" ht="15.75" customHeight="1">
      <c r="F614" s="1"/>
    </row>
    <row r="615" spans="6:6" ht="15.75" customHeight="1">
      <c r="F615" s="1"/>
    </row>
    <row r="616" spans="6:6" ht="15.75" customHeight="1">
      <c r="F616" s="1"/>
    </row>
    <row r="617" spans="6:6" ht="15.75" customHeight="1">
      <c r="F617" s="1"/>
    </row>
    <row r="618" spans="6:6" ht="15.75" customHeight="1">
      <c r="F618" s="1"/>
    </row>
    <row r="619" spans="6:6" ht="15.75" customHeight="1">
      <c r="F619" s="1"/>
    </row>
    <row r="620" spans="6:6" ht="15.75" customHeight="1">
      <c r="F620" s="1"/>
    </row>
    <row r="621" spans="6:6" ht="15.75" customHeight="1">
      <c r="F621" s="1"/>
    </row>
    <row r="622" spans="6:6" ht="15.75" customHeight="1">
      <c r="F622" s="1"/>
    </row>
    <row r="623" spans="6:6" ht="15.75" customHeight="1">
      <c r="F623" s="1"/>
    </row>
    <row r="624" spans="6:6" ht="15.75" customHeight="1">
      <c r="F624" s="1"/>
    </row>
    <row r="625" spans="6:6" ht="15.75" customHeight="1">
      <c r="F625" s="1"/>
    </row>
    <row r="626" spans="6:6" ht="15.75" customHeight="1">
      <c r="F626" s="1"/>
    </row>
    <row r="627" spans="6:6" ht="15.75" customHeight="1">
      <c r="F627" s="1"/>
    </row>
    <row r="628" spans="6:6" ht="15.75" customHeight="1">
      <c r="F628" s="1"/>
    </row>
    <row r="629" spans="6:6" ht="15.75" customHeight="1">
      <c r="F629" s="1"/>
    </row>
    <row r="630" spans="6:6" ht="15.75" customHeight="1">
      <c r="F630" s="1"/>
    </row>
    <row r="631" spans="6:6" ht="15.75" customHeight="1">
      <c r="F631" s="1"/>
    </row>
    <row r="632" spans="6:6" ht="15.75" customHeight="1">
      <c r="F632" s="1"/>
    </row>
    <row r="633" spans="6:6" ht="15.75" customHeight="1">
      <c r="F633" s="1"/>
    </row>
    <row r="634" spans="6:6" ht="15.75" customHeight="1">
      <c r="F634" s="1"/>
    </row>
    <row r="635" spans="6:6" ht="15.75" customHeight="1">
      <c r="F635" s="1"/>
    </row>
    <row r="636" spans="6:6" ht="15.75" customHeight="1">
      <c r="F636" s="1"/>
    </row>
    <row r="637" spans="6:6" ht="15.75" customHeight="1">
      <c r="F637" s="1"/>
    </row>
    <row r="638" spans="6:6" ht="15.75" customHeight="1">
      <c r="F638" s="1"/>
    </row>
    <row r="639" spans="6:6" ht="15.75" customHeight="1">
      <c r="F639" s="1"/>
    </row>
    <row r="640" spans="6:6" ht="15.75" customHeight="1">
      <c r="F640" s="1"/>
    </row>
    <row r="641" spans="6:6" ht="15.75" customHeight="1">
      <c r="F641" s="1"/>
    </row>
    <row r="642" spans="6:6" ht="15.75" customHeight="1">
      <c r="F642" s="1"/>
    </row>
    <row r="643" spans="6:6" ht="15.75" customHeight="1">
      <c r="F643" s="1"/>
    </row>
    <row r="644" spans="6:6" ht="15.75" customHeight="1">
      <c r="F644" s="1"/>
    </row>
    <row r="645" spans="6:6" ht="15.75" customHeight="1">
      <c r="F645" s="1"/>
    </row>
    <row r="646" spans="6:6" ht="15.75" customHeight="1">
      <c r="F646" s="1"/>
    </row>
    <row r="647" spans="6:6" ht="15.75" customHeight="1">
      <c r="F647" s="1"/>
    </row>
    <row r="648" spans="6:6" ht="15.75" customHeight="1">
      <c r="F648" s="1"/>
    </row>
    <row r="649" spans="6:6" ht="15.75" customHeight="1">
      <c r="F649" s="1"/>
    </row>
    <row r="650" spans="6:6" ht="15.75" customHeight="1">
      <c r="F650" s="1"/>
    </row>
    <row r="651" spans="6:6" ht="15.75" customHeight="1">
      <c r="F651" s="1"/>
    </row>
    <row r="652" spans="6:6" ht="15.75" customHeight="1">
      <c r="F652" s="1"/>
    </row>
    <row r="653" spans="6:6" ht="15.75" customHeight="1">
      <c r="F653" s="1"/>
    </row>
    <row r="654" spans="6:6" ht="15.75" customHeight="1">
      <c r="F654" s="1"/>
    </row>
    <row r="655" spans="6:6" ht="15.75" customHeight="1">
      <c r="F655" s="1"/>
    </row>
    <row r="656" spans="6:6" ht="15.75" customHeight="1">
      <c r="F656" s="1"/>
    </row>
    <row r="657" spans="6:6" ht="15.75" customHeight="1">
      <c r="F657" s="1"/>
    </row>
    <row r="658" spans="6:6" ht="15.75" customHeight="1">
      <c r="F658" s="1"/>
    </row>
    <row r="659" spans="6:6" ht="15.75" customHeight="1">
      <c r="F659" s="1"/>
    </row>
    <row r="660" spans="6:6" ht="15.75" customHeight="1">
      <c r="F660" s="1"/>
    </row>
    <row r="661" spans="6:6" ht="15.75" customHeight="1">
      <c r="F661" s="1"/>
    </row>
    <row r="662" spans="6:6" ht="15.75" customHeight="1">
      <c r="F662" s="1"/>
    </row>
    <row r="663" spans="6:6" ht="15.75" customHeight="1">
      <c r="F663" s="1"/>
    </row>
    <row r="664" spans="6:6" ht="15.75" customHeight="1">
      <c r="F664" s="1"/>
    </row>
    <row r="665" spans="6:6" ht="15.75" customHeight="1">
      <c r="F665" s="1"/>
    </row>
    <row r="666" spans="6:6" ht="15.75" customHeight="1">
      <c r="F666" s="1"/>
    </row>
    <row r="667" spans="6:6" ht="15.75" customHeight="1">
      <c r="F667" s="1"/>
    </row>
    <row r="668" spans="6:6" ht="15.75" customHeight="1">
      <c r="F668" s="1"/>
    </row>
    <row r="669" spans="6:6" ht="15.75" customHeight="1">
      <c r="F669" s="1"/>
    </row>
    <row r="670" spans="6:6" ht="15.75" customHeight="1">
      <c r="F670" s="1"/>
    </row>
    <row r="671" spans="6:6" ht="15.75" customHeight="1">
      <c r="F671" s="1"/>
    </row>
    <row r="672" spans="6:6" ht="15.75" customHeight="1">
      <c r="F672" s="1"/>
    </row>
    <row r="673" spans="6:6" ht="15.75" customHeight="1">
      <c r="F673" s="1"/>
    </row>
    <row r="674" spans="6:6" ht="15.75" customHeight="1">
      <c r="F674" s="1"/>
    </row>
    <row r="675" spans="6:6" ht="15.75" customHeight="1">
      <c r="F675" s="1"/>
    </row>
    <row r="676" spans="6:6" ht="15.75" customHeight="1">
      <c r="F676" s="1"/>
    </row>
    <row r="677" spans="6:6" ht="15.75" customHeight="1">
      <c r="F677" s="1"/>
    </row>
    <row r="678" spans="6:6" ht="15.75" customHeight="1">
      <c r="F678" s="1"/>
    </row>
    <row r="679" spans="6:6" ht="15.75" customHeight="1">
      <c r="F679" s="1"/>
    </row>
    <row r="680" spans="6:6" ht="15.75" customHeight="1">
      <c r="F680" s="1"/>
    </row>
    <row r="681" spans="6:6" ht="15.75" customHeight="1">
      <c r="F681" s="1"/>
    </row>
    <row r="682" spans="6:6" ht="15.75" customHeight="1">
      <c r="F682" s="1"/>
    </row>
    <row r="683" spans="6:6" ht="15.75" customHeight="1">
      <c r="F683" s="1"/>
    </row>
    <row r="684" spans="6:6" ht="15.75" customHeight="1">
      <c r="F684" s="1"/>
    </row>
    <row r="685" spans="6:6" ht="15.75" customHeight="1">
      <c r="F685" s="1"/>
    </row>
    <row r="686" spans="6:6" ht="15.75" customHeight="1">
      <c r="F686" s="1"/>
    </row>
    <row r="687" spans="6:6" ht="15.75" customHeight="1">
      <c r="F687" s="1"/>
    </row>
    <row r="688" spans="6:6" ht="15.75" customHeight="1">
      <c r="F688" s="1"/>
    </row>
    <row r="689" spans="6:6" ht="15.75" customHeight="1">
      <c r="F689" s="1"/>
    </row>
    <row r="690" spans="6:6" ht="15.75" customHeight="1">
      <c r="F690" s="1"/>
    </row>
    <row r="691" spans="6:6" ht="15.75" customHeight="1">
      <c r="F691" s="1"/>
    </row>
    <row r="692" spans="6:6" ht="15.75" customHeight="1">
      <c r="F692" s="1"/>
    </row>
    <row r="693" spans="6:6" ht="15.75" customHeight="1">
      <c r="F693" s="1"/>
    </row>
    <row r="694" spans="6:6" ht="15.75" customHeight="1">
      <c r="F694" s="1"/>
    </row>
    <row r="695" spans="6:6" ht="15.75" customHeight="1">
      <c r="F695" s="1"/>
    </row>
    <row r="696" spans="6:6" ht="15.75" customHeight="1">
      <c r="F696" s="1"/>
    </row>
    <row r="697" spans="6:6" ht="15.75" customHeight="1">
      <c r="F697" s="1"/>
    </row>
    <row r="698" spans="6:6" ht="15.75" customHeight="1">
      <c r="F698" s="1"/>
    </row>
    <row r="699" spans="6:6" ht="15.75" customHeight="1">
      <c r="F699" s="1"/>
    </row>
    <row r="700" spans="6:6" ht="15.75" customHeight="1">
      <c r="F700" s="1"/>
    </row>
    <row r="701" spans="6:6" ht="15.75" customHeight="1">
      <c r="F701" s="1"/>
    </row>
    <row r="702" spans="6:6" ht="15.75" customHeight="1">
      <c r="F702" s="1"/>
    </row>
    <row r="703" spans="6:6" ht="15.75" customHeight="1">
      <c r="F703" s="1"/>
    </row>
    <row r="704" spans="6:6" ht="15.75" customHeight="1">
      <c r="F704" s="1"/>
    </row>
    <row r="705" spans="6:6" ht="15.75" customHeight="1">
      <c r="F705" s="1"/>
    </row>
    <row r="706" spans="6:6" ht="15.75" customHeight="1">
      <c r="F706" s="1"/>
    </row>
    <row r="707" spans="6:6" ht="15.75" customHeight="1">
      <c r="F707" s="1"/>
    </row>
    <row r="708" spans="6:6" ht="15.75" customHeight="1">
      <c r="F708" s="1"/>
    </row>
    <row r="709" spans="6:6" ht="15.75" customHeight="1">
      <c r="F709" s="1"/>
    </row>
    <row r="710" spans="6:6" ht="15.75" customHeight="1">
      <c r="F710" s="1"/>
    </row>
    <row r="711" spans="6:6" ht="15.75" customHeight="1">
      <c r="F711" s="1"/>
    </row>
    <row r="712" spans="6:6" ht="15.75" customHeight="1">
      <c r="F712" s="1"/>
    </row>
    <row r="713" spans="6:6" ht="15.75" customHeight="1">
      <c r="F713" s="1"/>
    </row>
    <row r="714" spans="6:6" ht="15.75" customHeight="1">
      <c r="F714" s="1"/>
    </row>
    <row r="715" spans="6:6" ht="15.75" customHeight="1">
      <c r="F715" s="1"/>
    </row>
    <row r="716" spans="6:6" ht="15.75" customHeight="1">
      <c r="F716" s="1"/>
    </row>
    <row r="717" spans="6:6" ht="15.75" customHeight="1">
      <c r="F717" s="1"/>
    </row>
    <row r="718" spans="6:6" ht="15.75" customHeight="1">
      <c r="F718" s="1"/>
    </row>
    <row r="719" spans="6:6" ht="15.75" customHeight="1">
      <c r="F719" s="1"/>
    </row>
    <row r="720" spans="6:6" ht="15.75" customHeight="1">
      <c r="F720" s="1"/>
    </row>
    <row r="721" spans="6:6" ht="15.75" customHeight="1">
      <c r="F721" s="1"/>
    </row>
    <row r="722" spans="6:6" ht="15.75" customHeight="1">
      <c r="F722" s="1"/>
    </row>
    <row r="723" spans="6:6" ht="15.75" customHeight="1">
      <c r="F723" s="1"/>
    </row>
    <row r="724" spans="6:6" ht="15.75" customHeight="1">
      <c r="F724" s="1"/>
    </row>
    <row r="725" spans="6:6" ht="15.75" customHeight="1">
      <c r="F725" s="1"/>
    </row>
    <row r="726" spans="6:6" ht="15.75" customHeight="1">
      <c r="F726" s="1"/>
    </row>
    <row r="727" spans="6:6" ht="15.75" customHeight="1">
      <c r="F727" s="1"/>
    </row>
    <row r="728" spans="6:6" ht="15.75" customHeight="1">
      <c r="F728" s="1"/>
    </row>
    <row r="729" spans="6:6" ht="15.75" customHeight="1">
      <c r="F729" s="1"/>
    </row>
    <row r="730" spans="6:6" ht="15.75" customHeight="1">
      <c r="F730" s="1"/>
    </row>
    <row r="731" spans="6:6" ht="15.75" customHeight="1">
      <c r="F731" s="1"/>
    </row>
    <row r="732" spans="6:6" ht="15.75" customHeight="1">
      <c r="F732" s="1"/>
    </row>
    <row r="733" spans="6:6" ht="15.75" customHeight="1">
      <c r="F733" s="1"/>
    </row>
    <row r="734" spans="6:6" ht="15.75" customHeight="1">
      <c r="F734" s="1"/>
    </row>
    <row r="735" spans="6:6" ht="15.75" customHeight="1">
      <c r="F735" s="1"/>
    </row>
    <row r="736" spans="6:6" ht="15.75" customHeight="1">
      <c r="F736" s="1"/>
    </row>
    <row r="737" spans="6:6" ht="15.75" customHeight="1">
      <c r="F737" s="1"/>
    </row>
    <row r="738" spans="6:6" ht="15.75" customHeight="1">
      <c r="F738" s="1"/>
    </row>
    <row r="739" spans="6:6" ht="15.75" customHeight="1">
      <c r="F739" s="1"/>
    </row>
    <row r="740" spans="6:6" ht="15.75" customHeight="1">
      <c r="F740" s="1"/>
    </row>
    <row r="741" spans="6:6" ht="15.75" customHeight="1">
      <c r="F741" s="1"/>
    </row>
    <row r="742" spans="6:6" ht="15.75" customHeight="1">
      <c r="F742" s="1"/>
    </row>
    <row r="743" spans="6:6" ht="15.75" customHeight="1">
      <c r="F743" s="1"/>
    </row>
    <row r="744" spans="6:6" ht="15.75" customHeight="1">
      <c r="F744" s="1"/>
    </row>
    <row r="745" spans="6:6" ht="15.75" customHeight="1">
      <c r="F745" s="1"/>
    </row>
    <row r="746" spans="6:6" ht="15.75" customHeight="1">
      <c r="F746" s="1"/>
    </row>
    <row r="747" spans="6:6" ht="15.75" customHeight="1">
      <c r="F747" s="1"/>
    </row>
    <row r="748" spans="6:6" ht="15.75" customHeight="1">
      <c r="F748" s="1"/>
    </row>
    <row r="749" spans="6:6" ht="15.75" customHeight="1">
      <c r="F749" s="1"/>
    </row>
    <row r="750" spans="6:6" ht="15.75" customHeight="1">
      <c r="F750" s="1"/>
    </row>
    <row r="751" spans="6:6" ht="15.75" customHeight="1">
      <c r="F751" s="1"/>
    </row>
    <row r="752" spans="6:6" ht="15.75" customHeight="1">
      <c r="F752" s="1"/>
    </row>
    <row r="753" spans="6:6" ht="15.75" customHeight="1">
      <c r="F753" s="1"/>
    </row>
    <row r="754" spans="6:6" ht="15.75" customHeight="1">
      <c r="F754" s="1"/>
    </row>
    <row r="755" spans="6:6" ht="15.75" customHeight="1">
      <c r="F755" s="1"/>
    </row>
    <row r="756" spans="6:6" ht="15.75" customHeight="1">
      <c r="F756" s="1"/>
    </row>
    <row r="757" spans="6:6" ht="15.75" customHeight="1">
      <c r="F757" s="1"/>
    </row>
    <row r="758" spans="6:6" ht="15.75" customHeight="1">
      <c r="F758" s="1"/>
    </row>
    <row r="759" spans="6:6" ht="15.75" customHeight="1">
      <c r="F759" s="1"/>
    </row>
    <row r="760" spans="6:6" ht="15.75" customHeight="1">
      <c r="F760" s="1"/>
    </row>
    <row r="761" spans="6:6" ht="15.75" customHeight="1">
      <c r="F761" s="1"/>
    </row>
    <row r="762" spans="6:6" ht="15.75" customHeight="1">
      <c r="F762" s="1"/>
    </row>
    <row r="763" spans="6:6" ht="15.75" customHeight="1">
      <c r="F763" s="1"/>
    </row>
    <row r="764" spans="6:6" ht="15.75" customHeight="1">
      <c r="F764" s="1"/>
    </row>
    <row r="765" spans="6:6" ht="15.75" customHeight="1">
      <c r="F765" s="1"/>
    </row>
    <row r="766" spans="6:6" ht="15.75" customHeight="1">
      <c r="F766" s="1"/>
    </row>
    <row r="767" spans="6:6" ht="15.75" customHeight="1">
      <c r="F767" s="1"/>
    </row>
    <row r="768" spans="6:6" ht="15.75" customHeight="1">
      <c r="F768" s="1"/>
    </row>
    <row r="769" spans="6:6" ht="15.75" customHeight="1">
      <c r="F769" s="1"/>
    </row>
    <row r="770" spans="6:6" ht="15.75" customHeight="1">
      <c r="F770" s="1"/>
    </row>
    <row r="771" spans="6:6" ht="15.75" customHeight="1">
      <c r="F771" s="1"/>
    </row>
    <row r="772" spans="6:6" ht="15.75" customHeight="1">
      <c r="F772" s="1"/>
    </row>
    <row r="773" spans="6:6" ht="15.75" customHeight="1">
      <c r="F773" s="1"/>
    </row>
    <row r="774" spans="6:6" ht="15.75" customHeight="1">
      <c r="F774" s="1"/>
    </row>
    <row r="775" spans="6:6" ht="15.75" customHeight="1">
      <c r="F775" s="1"/>
    </row>
    <row r="776" spans="6:6" ht="15.75" customHeight="1">
      <c r="F776" s="1"/>
    </row>
    <row r="777" spans="6:6" ht="15.75" customHeight="1">
      <c r="F777" s="1"/>
    </row>
    <row r="778" spans="6:6" ht="15.75" customHeight="1">
      <c r="F778" s="1"/>
    </row>
    <row r="779" spans="6:6" ht="15.75" customHeight="1">
      <c r="F779" s="1"/>
    </row>
    <row r="780" spans="6:6" ht="15.75" customHeight="1">
      <c r="F780" s="1"/>
    </row>
    <row r="781" spans="6:6" ht="15.75" customHeight="1">
      <c r="F781" s="1"/>
    </row>
    <row r="782" spans="6:6" ht="15.75" customHeight="1">
      <c r="F782" s="1"/>
    </row>
    <row r="783" spans="6:6" ht="15.75" customHeight="1">
      <c r="F783" s="1"/>
    </row>
    <row r="784" spans="6:6" ht="15.75" customHeight="1">
      <c r="F784" s="1"/>
    </row>
    <row r="785" spans="6:6" ht="15.75" customHeight="1">
      <c r="F785" s="1"/>
    </row>
    <row r="786" spans="6:6" ht="15.75" customHeight="1">
      <c r="F786" s="1"/>
    </row>
    <row r="787" spans="6:6" ht="15.75" customHeight="1">
      <c r="F787" s="1"/>
    </row>
    <row r="788" spans="6:6" ht="15.75" customHeight="1">
      <c r="F788" s="1"/>
    </row>
    <row r="789" spans="6:6" ht="15.75" customHeight="1">
      <c r="F789" s="1"/>
    </row>
    <row r="790" spans="6:6" ht="15.75" customHeight="1">
      <c r="F790" s="1"/>
    </row>
    <row r="791" spans="6:6" ht="15.75" customHeight="1">
      <c r="F791" s="1"/>
    </row>
    <row r="792" spans="6:6" ht="15.75" customHeight="1">
      <c r="F792" s="1"/>
    </row>
    <row r="793" spans="6:6" ht="15.75" customHeight="1">
      <c r="F793" s="1"/>
    </row>
    <row r="794" spans="6:6" ht="15.75" customHeight="1">
      <c r="F794" s="1"/>
    </row>
    <row r="795" spans="6:6" ht="15.75" customHeight="1">
      <c r="F795" s="1"/>
    </row>
    <row r="796" spans="6:6" ht="15.75" customHeight="1">
      <c r="F796" s="1"/>
    </row>
    <row r="797" spans="6:6" ht="15.75" customHeight="1">
      <c r="F797" s="1"/>
    </row>
    <row r="798" spans="6:6" ht="15.75" customHeight="1">
      <c r="F798" s="1"/>
    </row>
    <row r="799" spans="6:6" ht="15.75" customHeight="1">
      <c r="F799" s="1"/>
    </row>
    <row r="800" spans="6:6" ht="15.75" customHeight="1">
      <c r="F800" s="1"/>
    </row>
    <row r="801" spans="6:6" ht="15.75" customHeight="1">
      <c r="F801" s="1"/>
    </row>
    <row r="802" spans="6:6" ht="15.75" customHeight="1">
      <c r="F802" s="1"/>
    </row>
    <row r="803" spans="6:6" ht="15.75" customHeight="1">
      <c r="F803" s="1"/>
    </row>
    <row r="804" spans="6:6" ht="15.75" customHeight="1">
      <c r="F804" s="1"/>
    </row>
    <row r="805" spans="6:6" ht="15.75" customHeight="1">
      <c r="F805" s="1"/>
    </row>
    <row r="806" spans="6:6" ht="15.75" customHeight="1">
      <c r="F806" s="1"/>
    </row>
    <row r="807" spans="6:6" ht="15.75" customHeight="1">
      <c r="F807" s="1"/>
    </row>
    <row r="808" spans="6:6" ht="15.75" customHeight="1">
      <c r="F808" s="1"/>
    </row>
    <row r="809" spans="6:6" ht="15.75" customHeight="1">
      <c r="F809" s="1"/>
    </row>
    <row r="810" spans="6:6" ht="15.75" customHeight="1">
      <c r="F810" s="1"/>
    </row>
    <row r="811" spans="6:6" ht="15.75" customHeight="1">
      <c r="F811" s="1"/>
    </row>
    <row r="812" spans="6:6" ht="15.75" customHeight="1">
      <c r="F812" s="1"/>
    </row>
    <row r="813" spans="6:6" ht="15.75" customHeight="1">
      <c r="F813" s="1"/>
    </row>
    <row r="814" spans="6:6" ht="15.75" customHeight="1">
      <c r="F814" s="1"/>
    </row>
    <row r="815" spans="6:6" ht="15.75" customHeight="1">
      <c r="F815" s="1"/>
    </row>
    <row r="816" spans="6:6" ht="15.75" customHeight="1">
      <c r="F816" s="1"/>
    </row>
    <row r="817" spans="6:6" ht="15.75" customHeight="1">
      <c r="F817" s="1"/>
    </row>
    <row r="818" spans="6:6" ht="15.75" customHeight="1">
      <c r="F818" s="1"/>
    </row>
    <row r="819" spans="6:6" ht="15.75" customHeight="1">
      <c r="F819" s="1"/>
    </row>
    <row r="820" spans="6:6" ht="15.75" customHeight="1">
      <c r="F820" s="1"/>
    </row>
    <row r="821" spans="6:6" ht="15.75" customHeight="1">
      <c r="F821" s="1"/>
    </row>
    <row r="822" spans="6:6" ht="15.75" customHeight="1">
      <c r="F822" s="1"/>
    </row>
    <row r="823" spans="6:6" ht="15.75" customHeight="1">
      <c r="F823" s="1"/>
    </row>
    <row r="824" spans="6:6" ht="15.75" customHeight="1">
      <c r="F824" s="1"/>
    </row>
    <row r="825" spans="6:6" ht="15.75" customHeight="1">
      <c r="F825" s="1"/>
    </row>
    <row r="826" spans="6:6" ht="15.75" customHeight="1">
      <c r="F826" s="1"/>
    </row>
    <row r="827" spans="6:6" ht="15.75" customHeight="1">
      <c r="F827" s="1"/>
    </row>
    <row r="828" spans="6:6" ht="15.75" customHeight="1">
      <c r="F828" s="1"/>
    </row>
    <row r="829" spans="6:6" ht="15.75" customHeight="1">
      <c r="F829" s="1"/>
    </row>
    <row r="830" spans="6:6" ht="15.75" customHeight="1">
      <c r="F830" s="1"/>
    </row>
    <row r="831" spans="6:6" ht="15.75" customHeight="1">
      <c r="F831" s="1"/>
    </row>
    <row r="832" spans="6:6" ht="15.75" customHeight="1">
      <c r="F832" s="1"/>
    </row>
    <row r="833" spans="6:6" ht="15.75" customHeight="1">
      <c r="F833" s="1"/>
    </row>
    <row r="834" spans="6:6" ht="15.75" customHeight="1">
      <c r="F834" s="1"/>
    </row>
    <row r="835" spans="6:6" ht="15.75" customHeight="1">
      <c r="F835" s="1"/>
    </row>
    <row r="836" spans="6:6" ht="15.75" customHeight="1">
      <c r="F836" s="1"/>
    </row>
    <row r="837" spans="6:6" ht="15.75" customHeight="1">
      <c r="F837" s="1"/>
    </row>
    <row r="838" spans="6:6" ht="15.75" customHeight="1">
      <c r="F838" s="1"/>
    </row>
    <row r="839" spans="6:6" ht="15.75" customHeight="1">
      <c r="F839" s="1"/>
    </row>
    <row r="840" spans="6:6" ht="15.75" customHeight="1">
      <c r="F840" s="1"/>
    </row>
    <row r="841" spans="6:6" ht="15.75" customHeight="1">
      <c r="F841" s="1"/>
    </row>
    <row r="842" spans="6:6" ht="15.75" customHeight="1">
      <c r="F842" s="1"/>
    </row>
    <row r="843" spans="6:6" ht="15.75" customHeight="1">
      <c r="F843" s="1"/>
    </row>
    <row r="844" spans="6:6" ht="15.75" customHeight="1">
      <c r="F844" s="1"/>
    </row>
    <row r="845" spans="6:6" ht="15.75" customHeight="1">
      <c r="F845" s="1"/>
    </row>
    <row r="846" spans="6:6" ht="15.75" customHeight="1">
      <c r="F846" s="1"/>
    </row>
    <row r="847" spans="6:6" ht="15.75" customHeight="1">
      <c r="F847" s="1"/>
    </row>
    <row r="848" spans="6:6" ht="15.75" customHeight="1">
      <c r="F848" s="1"/>
    </row>
    <row r="849" spans="6:6" ht="15.75" customHeight="1">
      <c r="F849" s="1"/>
    </row>
    <row r="850" spans="6:6" ht="15.75" customHeight="1">
      <c r="F850" s="1"/>
    </row>
    <row r="851" spans="6:6" ht="15.75" customHeight="1">
      <c r="F851" s="1"/>
    </row>
    <row r="852" spans="6:6" ht="15.75" customHeight="1">
      <c r="F852" s="1"/>
    </row>
    <row r="853" spans="6:6" ht="15.75" customHeight="1">
      <c r="F853" s="1"/>
    </row>
    <row r="854" spans="6:6" ht="15.75" customHeight="1">
      <c r="F854" s="1"/>
    </row>
    <row r="855" spans="6:6" ht="15.75" customHeight="1">
      <c r="F855" s="1"/>
    </row>
    <row r="856" spans="6:6" ht="15.75" customHeight="1">
      <c r="F856" s="1"/>
    </row>
    <row r="857" spans="6:6" ht="15.75" customHeight="1">
      <c r="F857" s="1"/>
    </row>
    <row r="858" spans="6:6" ht="15.75" customHeight="1">
      <c r="F858" s="1"/>
    </row>
    <row r="859" spans="6:6" ht="15.75" customHeight="1">
      <c r="F859" s="1"/>
    </row>
    <row r="860" spans="6:6" ht="15.75" customHeight="1">
      <c r="F860" s="1"/>
    </row>
    <row r="861" spans="6:6" ht="15.75" customHeight="1">
      <c r="F861" s="1"/>
    </row>
    <row r="862" spans="6:6" ht="15.75" customHeight="1">
      <c r="F862" s="1"/>
    </row>
    <row r="863" spans="6:6" ht="15.75" customHeight="1">
      <c r="F863" s="1"/>
    </row>
    <row r="864" spans="6:6" ht="15.75" customHeight="1">
      <c r="F864" s="1"/>
    </row>
    <row r="865" spans="6:6" ht="15.75" customHeight="1">
      <c r="F865" s="1"/>
    </row>
    <row r="866" spans="6:6" ht="15.75" customHeight="1">
      <c r="F866" s="1"/>
    </row>
    <row r="867" spans="6:6" ht="15.75" customHeight="1">
      <c r="F867" s="1"/>
    </row>
    <row r="868" spans="6:6" ht="15.75" customHeight="1">
      <c r="F868" s="1"/>
    </row>
    <row r="869" spans="6:6" ht="15.75" customHeight="1">
      <c r="F869" s="1"/>
    </row>
    <row r="870" spans="6:6" ht="15.75" customHeight="1">
      <c r="F870" s="1"/>
    </row>
    <row r="871" spans="6:6" ht="15.75" customHeight="1">
      <c r="F871" s="1"/>
    </row>
    <row r="872" spans="6:6" ht="15.75" customHeight="1">
      <c r="F872" s="1"/>
    </row>
    <row r="873" spans="6:6" ht="15.75" customHeight="1">
      <c r="F873" s="1"/>
    </row>
    <row r="874" spans="6:6" ht="15.75" customHeight="1">
      <c r="F874" s="1"/>
    </row>
    <row r="875" spans="6:6" ht="15.75" customHeight="1">
      <c r="F875" s="1"/>
    </row>
    <row r="876" spans="6:6" ht="15.75" customHeight="1">
      <c r="F876" s="1"/>
    </row>
    <row r="877" spans="6:6" ht="15.75" customHeight="1">
      <c r="F877" s="1"/>
    </row>
    <row r="878" spans="6:6" ht="15.75" customHeight="1">
      <c r="F878" s="1"/>
    </row>
    <row r="879" spans="6:6" ht="15.75" customHeight="1">
      <c r="F879" s="1"/>
    </row>
    <row r="880" spans="6:6" ht="15.75" customHeight="1">
      <c r="F880" s="1"/>
    </row>
    <row r="881" spans="6:6" ht="15.75" customHeight="1">
      <c r="F881" s="1"/>
    </row>
    <row r="882" spans="6:6" ht="15.75" customHeight="1">
      <c r="F882" s="1"/>
    </row>
    <row r="883" spans="6:6" ht="15.75" customHeight="1">
      <c r="F883" s="1"/>
    </row>
    <row r="884" spans="6:6" ht="15.75" customHeight="1">
      <c r="F884" s="1"/>
    </row>
    <row r="885" spans="6:6" ht="15.75" customHeight="1">
      <c r="F885" s="1"/>
    </row>
    <row r="886" spans="6:6" ht="15.75" customHeight="1">
      <c r="F886" s="1"/>
    </row>
    <row r="887" spans="6:6" ht="15.75" customHeight="1">
      <c r="F887" s="1"/>
    </row>
    <row r="888" spans="6:6" ht="15.75" customHeight="1">
      <c r="F888" s="1"/>
    </row>
    <row r="889" spans="6:6" ht="15.75" customHeight="1">
      <c r="F889" s="1"/>
    </row>
    <row r="890" spans="6:6" ht="15.75" customHeight="1">
      <c r="F890" s="1"/>
    </row>
    <row r="891" spans="6:6" ht="15.75" customHeight="1">
      <c r="F891" s="1"/>
    </row>
    <row r="892" spans="6:6" ht="15.75" customHeight="1">
      <c r="F892" s="1"/>
    </row>
    <row r="893" spans="6:6" ht="15.75" customHeight="1">
      <c r="F893" s="1"/>
    </row>
    <row r="894" spans="6:6" ht="15.75" customHeight="1">
      <c r="F894" s="1"/>
    </row>
    <row r="895" spans="6:6" ht="15.75" customHeight="1">
      <c r="F895" s="1"/>
    </row>
    <row r="896" spans="6:6" ht="15.75" customHeight="1">
      <c r="F896" s="1"/>
    </row>
    <row r="897" spans="6:6" ht="15.75" customHeight="1">
      <c r="F897" s="1"/>
    </row>
    <row r="898" spans="6:6" ht="15.75" customHeight="1">
      <c r="F898" s="1"/>
    </row>
    <row r="899" spans="6:6" ht="15.75" customHeight="1">
      <c r="F899" s="1"/>
    </row>
    <row r="900" spans="6:6" ht="15.75" customHeight="1">
      <c r="F900" s="1"/>
    </row>
    <row r="901" spans="6:6" ht="15.75" customHeight="1">
      <c r="F901" s="1"/>
    </row>
    <row r="902" spans="6:6" ht="15.75" customHeight="1">
      <c r="F902" s="1"/>
    </row>
    <row r="903" spans="6:6" ht="15.75" customHeight="1">
      <c r="F903" s="1"/>
    </row>
    <row r="904" spans="6:6" ht="15.75" customHeight="1">
      <c r="F904" s="1"/>
    </row>
    <row r="905" spans="6:6" ht="15.75" customHeight="1">
      <c r="F905" s="1"/>
    </row>
    <row r="906" spans="6:6" ht="15.75" customHeight="1">
      <c r="F906" s="1"/>
    </row>
    <row r="907" spans="6:6" ht="15.75" customHeight="1">
      <c r="F907" s="1"/>
    </row>
    <row r="908" spans="6:6" ht="15.75" customHeight="1">
      <c r="F908" s="1"/>
    </row>
    <row r="909" spans="6:6" ht="15.75" customHeight="1">
      <c r="F909" s="1"/>
    </row>
    <row r="910" spans="6:6" ht="15.75" customHeight="1">
      <c r="F910" s="1"/>
    </row>
    <row r="911" spans="6:6" ht="15.75" customHeight="1">
      <c r="F911" s="1"/>
    </row>
    <row r="912" spans="6:6" ht="15.75" customHeight="1">
      <c r="F912" s="1"/>
    </row>
    <row r="913" spans="6:6" ht="15.75" customHeight="1">
      <c r="F913" s="1"/>
    </row>
    <row r="914" spans="6:6" ht="15.75" customHeight="1">
      <c r="F914" s="1"/>
    </row>
    <row r="915" spans="6:6" ht="15.75" customHeight="1">
      <c r="F915" s="1"/>
    </row>
    <row r="916" spans="6:6" ht="15.75" customHeight="1">
      <c r="F916" s="1"/>
    </row>
    <row r="917" spans="6:6" ht="15.75" customHeight="1">
      <c r="F917" s="1"/>
    </row>
    <row r="918" spans="6:6" ht="15.75" customHeight="1">
      <c r="F918" s="1"/>
    </row>
    <row r="919" spans="6:6" ht="15.75" customHeight="1">
      <c r="F919" s="1"/>
    </row>
    <row r="920" spans="6:6" ht="15.75" customHeight="1">
      <c r="F920" s="1"/>
    </row>
    <row r="921" spans="6:6" ht="15.75" customHeight="1">
      <c r="F921" s="1"/>
    </row>
    <row r="922" spans="6:6" ht="15.75" customHeight="1">
      <c r="F922" s="1"/>
    </row>
    <row r="923" spans="6:6" ht="15.75" customHeight="1">
      <c r="F923" s="1"/>
    </row>
    <row r="924" spans="6:6" ht="15.75" customHeight="1">
      <c r="F924" s="1"/>
    </row>
    <row r="925" spans="6:6" ht="15.75" customHeight="1">
      <c r="F925" s="1"/>
    </row>
    <row r="926" spans="6:6" ht="15.75" customHeight="1">
      <c r="F926" s="1"/>
    </row>
    <row r="927" spans="6:6" ht="15.75" customHeight="1">
      <c r="F927" s="1"/>
    </row>
    <row r="928" spans="6:6" ht="15.75" customHeight="1">
      <c r="F928" s="1"/>
    </row>
    <row r="929" spans="6:6" ht="15.75" customHeight="1">
      <c r="F929" s="1"/>
    </row>
    <row r="930" spans="6:6" ht="15.75" customHeight="1">
      <c r="F930" s="1"/>
    </row>
    <row r="931" spans="6:6" ht="15.75" customHeight="1">
      <c r="F931" s="1"/>
    </row>
    <row r="932" spans="6:6" ht="15.75" customHeight="1">
      <c r="F932" s="1"/>
    </row>
    <row r="933" spans="6:6" ht="15.75" customHeight="1">
      <c r="F933" s="1"/>
    </row>
    <row r="934" spans="6:6" ht="15.75" customHeight="1">
      <c r="F934" s="1"/>
    </row>
    <row r="935" spans="6:6" ht="15.75" customHeight="1">
      <c r="F935" s="1"/>
    </row>
    <row r="936" spans="6:6" ht="15.75" customHeight="1">
      <c r="F936" s="1"/>
    </row>
    <row r="937" spans="6:6" ht="15.75" customHeight="1">
      <c r="F937" s="1"/>
    </row>
    <row r="938" spans="6:6" ht="15.75" customHeight="1">
      <c r="F938" s="1"/>
    </row>
    <row r="939" spans="6:6" ht="15.75" customHeight="1">
      <c r="F939" s="1"/>
    </row>
    <row r="940" spans="6:6" ht="15.75" customHeight="1">
      <c r="F940" s="1"/>
    </row>
    <row r="941" spans="6:6" ht="15.75" customHeight="1">
      <c r="F941" s="1"/>
    </row>
    <row r="942" spans="6:6" ht="15.75" customHeight="1">
      <c r="F942" s="1"/>
    </row>
    <row r="943" spans="6:6" ht="15.75" customHeight="1">
      <c r="F943" s="1"/>
    </row>
    <row r="944" spans="6:6" ht="15.75" customHeight="1">
      <c r="F944" s="1"/>
    </row>
    <row r="945" spans="6:6" ht="15.75" customHeight="1">
      <c r="F945" s="1"/>
    </row>
    <row r="946" spans="6:6" ht="15.75" customHeight="1">
      <c r="F946" s="1"/>
    </row>
    <row r="947" spans="6:6" ht="15.75" customHeight="1">
      <c r="F947" s="1"/>
    </row>
    <row r="948" spans="6:6" ht="15.75" customHeight="1">
      <c r="F948" s="1"/>
    </row>
    <row r="949" spans="6:6" ht="15.75" customHeight="1">
      <c r="F949" s="1"/>
    </row>
    <row r="950" spans="6:6" ht="15.75" customHeight="1">
      <c r="F950" s="1"/>
    </row>
    <row r="951" spans="6:6" ht="15.75" customHeight="1">
      <c r="F951" s="1"/>
    </row>
    <row r="952" spans="6:6" ht="15.75" customHeight="1">
      <c r="F952" s="1"/>
    </row>
    <row r="953" spans="6:6" ht="15.75" customHeight="1">
      <c r="F953" s="1"/>
    </row>
    <row r="954" spans="6:6" ht="15.75" customHeight="1">
      <c r="F954" s="1"/>
    </row>
    <row r="955" spans="6:6" ht="15.75" customHeight="1">
      <c r="F955" s="1"/>
    </row>
    <row r="956" spans="6:6" ht="15.75" customHeight="1">
      <c r="F956" s="1"/>
    </row>
    <row r="957" spans="6:6" ht="15.75" customHeight="1">
      <c r="F957" s="1"/>
    </row>
    <row r="958" spans="6:6" ht="15.75" customHeight="1">
      <c r="F958" s="1"/>
    </row>
    <row r="959" spans="6:6" ht="15.75" customHeight="1">
      <c r="F959" s="1"/>
    </row>
    <row r="960" spans="6:6" ht="15.75" customHeight="1">
      <c r="F960" s="1"/>
    </row>
    <row r="961" spans="6:6" ht="15.75" customHeight="1">
      <c r="F961" s="1"/>
    </row>
    <row r="962" spans="6:6" ht="15.75" customHeight="1">
      <c r="F962" s="1"/>
    </row>
    <row r="963" spans="6:6" ht="15.75" customHeight="1">
      <c r="F963" s="1"/>
    </row>
    <row r="964" spans="6:6" ht="15.75" customHeight="1">
      <c r="F964" s="1"/>
    </row>
    <row r="965" spans="6:6" ht="15.75" customHeight="1">
      <c r="F965" s="1"/>
    </row>
    <row r="966" spans="6:6" ht="15.75" customHeight="1">
      <c r="F966" s="1"/>
    </row>
    <row r="967" spans="6:6" ht="15.75" customHeight="1">
      <c r="F967" s="1"/>
    </row>
    <row r="968" spans="6:6" ht="15.75" customHeight="1">
      <c r="F968" s="1"/>
    </row>
    <row r="969" spans="6:6" ht="15.75" customHeight="1">
      <c r="F969" s="1"/>
    </row>
    <row r="970" spans="6:6" ht="15.75" customHeight="1">
      <c r="F970" s="1"/>
    </row>
    <row r="971" spans="6:6" ht="15.75" customHeight="1">
      <c r="F971" s="1"/>
    </row>
    <row r="972" spans="6:6" ht="15.75" customHeight="1">
      <c r="F972" s="1"/>
    </row>
    <row r="973" spans="6:6" ht="15.75" customHeight="1">
      <c r="F973" s="1"/>
    </row>
    <row r="974" spans="6:6" ht="15.75" customHeight="1">
      <c r="F974" s="1"/>
    </row>
    <row r="975" spans="6:6" ht="15.75" customHeight="1">
      <c r="F975" s="1"/>
    </row>
    <row r="976" spans="6:6" ht="15.75" customHeight="1">
      <c r="F976" s="1"/>
    </row>
    <row r="977" spans="6:6" ht="15.75" customHeight="1">
      <c r="F977" s="1"/>
    </row>
    <row r="978" spans="6:6" ht="15.75" customHeight="1">
      <c r="F978" s="1"/>
    </row>
    <row r="979" spans="6:6" ht="15.75" customHeight="1">
      <c r="F979" s="1"/>
    </row>
    <row r="980" spans="6:6" ht="15.75" customHeight="1">
      <c r="F980" s="1"/>
    </row>
    <row r="981" spans="6:6" ht="15.75" customHeight="1">
      <c r="F981" s="1"/>
    </row>
    <row r="982" spans="6:6" ht="15.75" customHeight="1">
      <c r="F982" s="1"/>
    </row>
    <row r="983" spans="6:6" ht="15.75" customHeight="1">
      <c r="F983" s="1"/>
    </row>
    <row r="984" spans="6:6" ht="15.75" customHeight="1">
      <c r="F984" s="1"/>
    </row>
    <row r="985" spans="6:6" ht="15.75" customHeight="1">
      <c r="F985" s="1"/>
    </row>
    <row r="986" spans="6:6" ht="15.75" customHeight="1">
      <c r="F986" s="1"/>
    </row>
    <row r="987" spans="6:6" ht="15.75" customHeight="1">
      <c r="F987" s="1"/>
    </row>
    <row r="988" spans="6:6" ht="15.75" customHeight="1">
      <c r="F988" s="1"/>
    </row>
    <row r="989" spans="6:6" ht="15.75" customHeight="1">
      <c r="F989" s="1"/>
    </row>
    <row r="990" spans="6:6" ht="15.75" customHeight="1">
      <c r="F990" s="1"/>
    </row>
    <row r="991" spans="6:6" ht="15.75" customHeight="1">
      <c r="F991" s="1"/>
    </row>
    <row r="992" spans="6:6" ht="15.75" customHeight="1">
      <c r="F992" s="1"/>
    </row>
    <row r="993" spans="6:6" ht="15.75" customHeight="1">
      <c r="F993" s="1"/>
    </row>
    <row r="994" spans="6:6" ht="15.75" customHeight="1">
      <c r="F994" s="1"/>
    </row>
    <row r="995" spans="6:6" ht="15.75" customHeight="1">
      <c r="F995" s="1"/>
    </row>
    <row r="996" spans="6:6" ht="15.75" customHeight="1">
      <c r="F996" s="1"/>
    </row>
    <row r="997" spans="6:6" ht="15.75" customHeight="1">
      <c r="F997" s="1"/>
    </row>
    <row r="998" spans="6:6" ht="15.75" customHeight="1">
      <c r="F998" s="1"/>
    </row>
    <row r="999" spans="6:6" ht="15.75" customHeight="1">
      <c r="F999" s="1"/>
    </row>
    <row r="1000" spans="6:6" ht="15.75" customHeight="1">
      <c r="F1000" s="1"/>
    </row>
  </sheetData>
  <mergeCells count="3">
    <mergeCell ref="F24:K24"/>
    <mergeCell ref="F25:K25"/>
    <mergeCell ref="F26:K26"/>
  </mergeCells>
  <pageMargins left="0.7" right="0.7" top="0.75" bottom="0.75" header="0" footer="0"/>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00"/>
  <sheetViews>
    <sheetView topLeftCell="D2" zoomScaleNormal="100" workbookViewId="0">
      <selection activeCell="G13" sqref="G13:G14"/>
    </sheetView>
  </sheetViews>
  <sheetFormatPr defaultColWidth="14.42578125" defaultRowHeight="15" customHeight="1"/>
  <cols>
    <col min="1" max="1" width="13.85546875" customWidth="1"/>
    <col min="2" max="2" width="24.140625" bestFit="1" customWidth="1"/>
    <col min="3" max="3" width="19.85546875" bestFit="1" customWidth="1"/>
    <col min="4" max="4" width="9.85546875" bestFit="1" customWidth="1"/>
    <col min="5" max="5" width="23.28515625" customWidth="1"/>
    <col min="6" max="6" width="25.85546875" bestFit="1" customWidth="1"/>
    <col min="7" max="7" width="30" bestFit="1" customWidth="1"/>
    <col min="8" max="8" width="13.140625" bestFit="1" customWidth="1"/>
    <col min="9" max="9" width="13.28515625" bestFit="1" customWidth="1"/>
    <col min="10" max="10" width="22.42578125" bestFit="1" customWidth="1"/>
    <col min="11" max="11" width="8.140625" customWidth="1"/>
    <col min="12" max="12" width="3" customWidth="1"/>
    <col min="13" max="13" width="5.85546875" bestFit="1" customWidth="1"/>
    <col min="14" max="14" width="19.42578125" bestFit="1" customWidth="1"/>
    <col min="15" max="15" width="18.7109375" bestFit="1" customWidth="1"/>
    <col min="16" max="16" width="8" bestFit="1" customWidth="1"/>
    <col min="17" max="17" width="3.140625" bestFit="1" customWidth="1"/>
    <col min="18" max="18" width="9.28515625" bestFit="1" customWidth="1"/>
    <col min="19" max="19" width="8.28515625" bestFit="1" customWidth="1"/>
    <col min="20" max="28" width="8.7109375" customWidth="1"/>
  </cols>
  <sheetData>
    <row r="1" spans="1:28" ht="27.75" thickBot="1">
      <c r="A1" s="178" t="s">
        <v>49</v>
      </c>
      <c r="B1" s="178"/>
      <c r="C1" s="178"/>
      <c r="D1" s="178"/>
      <c r="E1" s="178"/>
      <c r="F1" s="178"/>
      <c r="G1" s="178"/>
      <c r="H1" s="178"/>
      <c r="I1" s="178"/>
      <c r="J1" s="178"/>
      <c r="K1" s="179"/>
      <c r="L1" s="96"/>
      <c r="M1" s="6"/>
      <c r="N1" s="6"/>
      <c r="O1" s="6"/>
      <c r="P1" s="6"/>
      <c r="Q1" s="6"/>
      <c r="R1" s="6"/>
      <c r="S1" s="6"/>
      <c r="T1" s="6"/>
      <c r="U1" s="6"/>
      <c r="V1" s="6"/>
      <c r="W1" s="6"/>
      <c r="X1" s="6"/>
      <c r="Y1" s="6"/>
      <c r="Z1" s="6"/>
      <c r="AA1" s="6"/>
      <c r="AB1" s="6"/>
    </row>
    <row r="2" spans="1:28" ht="19.5" thickTop="1" thickBot="1">
      <c r="A2" s="80" t="s">
        <v>111</v>
      </c>
      <c r="B2" s="80" t="s">
        <v>50</v>
      </c>
      <c r="C2" s="80" t="s">
        <v>51</v>
      </c>
      <c r="D2" s="80" t="s">
        <v>177</v>
      </c>
      <c r="E2" s="80" t="s">
        <v>52</v>
      </c>
      <c r="F2" s="80" t="s">
        <v>53</v>
      </c>
      <c r="G2" s="80" t="s">
        <v>54</v>
      </c>
      <c r="H2" s="80" t="s">
        <v>55</v>
      </c>
      <c r="I2" s="80" t="s">
        <v>56</v>
      </c>
      <c r="J2" s="80" t="s">
        <v>57</v>
      </c>
      <c r="K2" s="81" t="s">
        <v>58</v>
      </c>
      <c r="L2" s="97"/>
      <c r="M2" s="6"/>
      <c r="N2" s="6"/>
      <c r="O2" s="6"/>
      <c r="P2" s="6"/>
      <c r="Q2" s="6"/>
      <c r="R2" s="6"/>
      <c r="S2" s="6"/>
      <c r="T2" s="6"/>
      <c r="U2" s="6"/>
      <c r="V2" s="6"/>
      <c r="W2" s="6"/>
      <c r="X2" s="6"/>
      <c r="Y2" s="6"/>
      <c r="Z2" s="6"/>
      <c r="AA2" s="6"/>
      <c r="AB2" s="6"/>
    </row>
    <row r="3" spans="1:28" ht="15.75" thickTop="1">
      <c r="A3" s="12" t="s">
        <v>124</v>
      </c>
      <c r="B3" s="7">
        <v>45685</v>
      </c>
      <c r="C3" s="8" t="s">
        <v>59</v>
      </c>
      <c r="D3" s="9">
        <f t="shared" ref="D3:D12" si="0">VALUE(RIGHT(C3,10))-VALUE(RIGHT(B3,10))</f>
        <v>7</v>
      </c>
      <c r="E3" s="8" t="s">
        <v>60</v>
      </c>
      <c r="F3" s="8" t="s">
        <v>61</v>
      </c>
      <c r="G3" s="8" t="s">
        <v>62</v>
      </c>
      <c r="H3" s="8" t="s">
        <v>63</v>
      </c>
      <c r="I3" s="8" t="s">
        <v>64</v>
      </c>
      <c r="J3" s="8" t="s">
        <v>65</v>
      </c>
      <c r="K3" s="75">
        <v>8</v>
      </c>
      <c r="L3" s="98"/>
      <c r="M3" s="6"/>
      <c r="N3" s="10" t="s">
        <v>66</v>
      </c>
      <c r="O3" s="10" t="s">
        <v>67</v>
      </c>
      <c r="P3" s="10" t="s">
        <v>68</v>
      </c>
      <c r="Q3" s="6"/>
      <c r="R3" s="6"/>
      <c r="S3" s="6"/>
      <c r="T3" s="6"/>
      <c r="U3" s="6"/>
      <c r="V3" s="6"/>
      <c r="W3" s="6"/>
      <c r="X3" s="6"/>
      <c r="Y3" s="6"/>
      <c r="Z3" s="6"/>
      <c r="AA3" s="6"/>
      <c r="AB3" s="6"/>
    </row>
    <row r="4" spans="1:28">
      <c r="A4" s="12" t="s">
        <v>124</v>
      </c>
      <c r="B4" s="11">
        <v>45685</v>
      </c>
      <c r="C4" s="11">
        <v>45692</v>
      </c>
      <c r="D4" s="12">
        <f t="shared" si="0"/>
        <v>7</v>
      </c>
      <c r="E4" s="13" t="s">
        <v>60</v>
      </c>
      <c r="F4" s="13" t="s">
        <v>69</v>
      </c>
      <c r="G4" s="13" t="s">
        <v>70</v>
      </c>
      <c r="H4" s="13" t="s">
        <v>71</v>
      </c>
      <c r="I4" s="13" t="s">
        <v>72</v>
      </c>
      <c r="J4" s="13" t="s">
        <v>73</v>
      </c>
      <c r="K4" s="76">
        <v>7</v>
      </c>
      <c r="L4" s="98"/>
      <c r="M4" s="6"/>
      <c r="N4" s="14" t="s">
        <v>65</v>
      </c>
      <c r="O4" s="15">
        <f>SUMIF(J:J, "ANNULLATO", K:K)</f>
        <v>8</v>
      </c>
      <c r="P4" s="16">
        <f>COUNTIF(J:J, "ANNULLATO")</f>
        <v>1</v>
      </c>
      <c r="Q4" s="6"/>
      <c r="R4" s="6"/>
      <c r="S4" s="6"/>
      <c r="T4" s="6"/>
      <c r="U4" s="6"/>
      <c r="V4" s="6"/>
      <c r="W4" s="6"/>
      <c r="X4" s="6"/>
      <c r="Y4" s="6"/>
      <c r="Z4" s="6"/>
      <c r="AA4" s="6"/>
      <c r="AB4" s="6"/>
    </row>
    <row r="5" spans="1:28">
      <c r="A5" s="12" t="s">
        <v>124</v>
      </c>
      <c r="B5" s="11">
        <v>45686</v>
      </c>
      <c r="C5" s="17" t="s">
        <v>74</v>
      </c>
      <c r="D5" s="12">
        <f t="shared" si="0"/>
        <v>16</v>
      </c>
      <c r="E5" s="13" t="s">
        <v>60</v>
      </c>
      <c r="F5" s="13" t="s">
        <v>61</v>
      </c>
      <c r="G5" s="13" t="s">
        <v>75</v>
      </c>
      <c r="H5" s="13" t="s">
        <v>63</v>
      </c>
      <c r="I5" s="13" t="s">
        <v>64</v>
      </c>
      <c r="J5" s="13" t="s">
        <v>73</v>
      </c>
      <c r="K5" s="76">
        <v>4.99</v>
      </c>
      <c r="L5" s="98"/>
      <c r="M5" s="6"/>
      <c r="N5" s="18" t="s">
        <v>76</v>
      </c>
      <c r="O5" s="19">
        <f>O8+O9</f>
        <v>29</v>
      </c>
      <c r="P5" s="20">
        <f>P9+P8</f>
        <v>2</v>
      </c>
      <c r="Q5" s="6"/>
      <c r="R5" s="6"/>
      <c r="S5" s="6"/>
      <c r="T5" s="6"/>
      <c r="U5" s="6"/>
      <c r="V5" s="6"/>
      <c r="W5" s="6"/>
      <c r="X5" s="6"/>
      <c r="Y5" s="6"/>
      <c r="Z5" s="6"/>
      <c r="AA5" s="6"/>
      <c r="AB5" s="6"/>
    </row>
    <row r="6" spans="1:28">
      <c r="A6" s="12" t="s">
        <v>124</v>
      </c>
      <c r="B6" s="11">
        <v>45686</v>
      </c>
      <c r="C6" s="11">
        <v>45695</v>
      </c>
      <c r="D6" s="12">
        <f t="shared" si="0"/>
        <v>9</v>
      </c>
      <c r="E6" s="13" t="s">
        <v>60</v>
      </c>
      <c r="F6" s="13" t="s">
        <v>77</v>
      </c>
      <c r="G6" s="13" t="s">
        <v>78</v>
      </c>
      <c r="H6" s="13" t="s">
        <v>79</v>
      </c>
      <c r="I6" s="13" t="s">
        <v>80</v>
      </c>
      <c r="J6" s="13" t="s">
        <v>73</v>
      </c>
      <c r="K6" s="76">
        <v>4.99</v>
      </c>
      <c r="L6" s="98"/>
      <c r="M6" s="6"/>
      <c r="N6" s="21" t="s">
        <v>81</v>
      </c>
      <c r="O6" s="22">
        <f>SUMIF(J:J, "CONSEGNATO", K:K)</f>
        <v>321.53999999999996</v>
      </c>
      <c r="P6" s="55">
        <f>COUNTIF(J:J, "CONSEGNATO")</f>
        <v>19</v>
      </c>
      <c r="Q6" s="6"/>
      <c r="R6" s="6"/>
      <c r="S6" s="6"/>
      <c r="T6" s="6"/>
      <c r="U6" s="6"/>
      <c r="V6" s="6"/>
      <c r="W6" s="6"/>
      <c r="X6" s="6"/>
      <c r="Y6" s="6"/>
      <c r="Z6" s="6"/>
      <c r="AA6" s="6"/>
      <c r="AB6" s="6"/>
    </row>
    <row r="7" spans="1:28" ht="15.75" thickBot="1">
      <c r="A7" s="24" t="s">
        <v>124</v>
      </c>
      <c r="B7" s="23">
        <v>45689</v>
      </c>
      <c r="C7" s="23">
        <v>45698</v>
      </c>
      <c r="D7" s="24">
        <f t="shared" si="0"/>
        <v>9</v>
      </c>
      <c r="E7" s="25" t="s">
        <v>60</v>
      </c>
      <c r="F7" s="25" t="s">
        <v>82</v>
      </c>
      <c r="G7" s="25" t="s">
        <v>83</v>
      </c>
      <c r="H7" s="25" t="s">
        <v>84</v>
      </c>
      <c r="I7" s="25" t="s">
        <v>80</v>
      </c>
      <c r="J7" s="25" t="s">
        <v>73</v>
      </c>
      <c r="K7" s="77">
        <v>9.48</v>
      </c>
      <c r="L7" s="98"/>
      <c r="M7" s="6"/>
      <c r="N7" s="21" t="s">
        <v>85</v>
      </c>
      <c r="O7" s="22">
        <f>SUMIF(J:J, "CONSEGNATO A MANO", K:K)</f>
        <v>18</v>
      </c>
      <c r="P7" s="55">
        <f>COUNTIF(J:J, "CONSEGNATO A MANO")</f>
        <v>2</v>
      </c>
      <c r="Q7" s="6"/>
      <c r="R7" s="6"/>
      <c r="S7" s="6"/>
      <c r="T7" s="6"/>
      <c r="U7" s="6"/>
      <c r="V7" s="6"/>
      <c r="W7" s="6"/>
      <c r="X7" s="6"/>
      <c r="Y7" s="6"/>
      <c r="Z7" s="6"/>
      <c r="AA7" s="6"/>
      <c r="AB7" s="6"/>
    </row>
    <row r="8" spans="1:28" ht="15.75" thickTop="1">
      <c r="A8" s="73" t="s">
        <v>130</v>
      </c>
      <c r="B8" s="7">
        <v>45691</v>
      </c>
      <c r="C8" s="8" t="s">
        <v>86</v>
      </c>
      <c r="D8" s="9">
        <f t="shared" si="0"/>
        <v>17</v>
      </c>
      <c r="E8" s="8" t="s">
        <v>60</v>
      </c>
      <c r="F8" s="8" t="s">
        <v>87</v>
      </c>
      <c r="G8" s="8" t="s">
        <v>88</v>
      </c>
      <c r="H8" s="8" t="s">
        <v>89</v>
      </c>
      <c r="I8" s="8" t="s">
        <v>80</v>
      </c>
      <c r="J8" s="13" t="s">
        <v>73</v>
      </c>
      <c r="K8" s="75">
        <v>7</v>
      </c>
      <c r="L8" s="98"/>
      <c r="M8" s="6"/>
      <c r="N8" s="26" t="s">
        <v>90</v>
      </c>
      <c r="O8" s="27">
        <f>SUMIF(J:J, "DA CONSEGNARE", K:K)</f>
        <v>29</v>
      </c>
      <c r="P8" s="28">
        <f>COUNTIF(J:J, "DA CONSEGNARE")</f>
        <v>2</v>
      </c>
      <c r="Q8" s="6"/>
      <c r="R8" s="6"/>
      <c r="S8" s="6"/>
      <c r="T8" s="6"/>
      <c r="U8" s="6"/>
      <c r="V8" s="6"/>
      <c r="W8" s="6"/>
      <c r="X8" s="6"/>
      <c r="Y8" s="6"/>
      <c r="Z8" s="6"/>
      <c r="AA8" s="6"/>
      <c r="AB8" s="6"/>
    </row>
    <row r="9" spans="1:28">
      <c r="A9" s="37" t="s">
        <v>130</v>
      </c>
      <c r="B9" s="11">
        <v>45693</v>
      </c>
      <c r="C9" s="11">
        <v>45699</v>
      </c>
      <c r="D9" s="9">
        <f t="shared" si="0"/>
        <v>6</v>
      </c>
      <c r="E9" s="13" t="s">
        <v>60</v>
      </c>
      <c r="F9" s="13" t="s">
        <v>91</v>
      </c>
      <c r="G9" s="13" t="s">
        <v>92</v>
      </c>
      <c r="H9" s="13" t="s">
        <v>93</v>
      </c>
      <c r="I9" s="13" t="s">
        <v>80</v>
      </c>
      <c r="J9" s="13" t="s">
        <v>73</v>
      </c>
      <c r="K9" s="76">
        <v>12.33</v>
      </c>
      <c r="L9" s="98"/>
      <c r="M9" s="6"/>
      <c r="N9" s="29" t="s">
        <v>94</v>
      </c>
      <c r="O9" s="30">
        <f>SUMIF(J:J, "DA RITIRARE", K:K)</f>
        <v>0</v>
      </c>
      <c r="P9" s="31">
        <f>COUNTIF(J:J, "DA RITIRARE")</f>
        <v>0</v>
      </c>
      <c r="Q9" s="6"/>
      <c r="R9" s="6"/>
      <c r="S9" s="6"/>
      <c r="T9" s="6"/>
      <c r="U9" s="6"/>
      <c r="V9" s="6"/>
      <c r="W9" s="6"/>
      <c r="X9" s="6"/>
      <c r="Y9" s="6"/>
      <c r="Z9" s="6"/>
      <c r="AA9" s="6"/>
      <c r="AB9" s="6"/>
    </row>
    <row r="10" spans="1:28" ht="15.75" thickBot="1">
      <c r="A10" s="74" t="s">
        <v>130</v>
      </c>
      <c r="B10" s="23">
        <v>45695</v>
      </c>
      <c r="C10" s="23">
        <v>45702</v>
      </c>
      <c r="D10" s="24">
        <f t="shared" si="0"/>
        <v>7</v>
      </c>
      <c r="E10" s="25" t="s">
        <v>60</v>
      </c>
      <c r="F10" s="25" t="s">
        <v>95</v>
      </c>
      <c r="G10" s="25" t="s">
        <v>96</v>
      </c>
      <c r="H10" s="25" t="s">
        <v>97</v>
      </c>
      <c r="I10" s="25" t="s">
        <v>80</v>
      </c>
      <c r="J10" s="25" t="s">
        <v>73</v>
      </c>
      <c r="K10" s="77">
        <v>9</v>
      </c>
      <c r="L10" s="98"/>
      <c r="M10" s="6"/>
      <c r="N10" s="32" t="s">
        <v>98</v>
      </c>
      <c r="O10" s="33">
        <f t="shared" ref="O10:P10" si="1">SUM(O6:O9,O4)</f>
        <v>376.53999999999996</v>
      </c>
      <c r="P10" s="34">
        <f t="shared" si="1"/>
        <v>24</v>
      </c>
      <c r="Q10" s="6"/>
      <c r="R10" s="6"/>
      <c r="S10" s="6"/>
      <c r="T10" s="6"/>
      <c r="U10" s="6"/>
      <c r="V10" s="6"/>
      <c r="W10" s="6"/>
      <c r="X10" s="6"/>
      <c r="Y10" s="6"/>
      <c r="Z10" s="6"/>
      <c r="AA10" s="6"/>
      <c r="AB10" s="6"/>
    </row>
    <row r="11" spans="1:28" ht="15.75" thickTop="1">
      <c r="A11" s="9" t="s">
        <v>137</v>
      </c>
      <c r="B11" s="7">
        <v>45699</v>
      </c>
      <c r="C11" s="7">
        <v>45700</v>
      </c>
      <c r="D11" s="9">
        <f t="shared" si="0"/>
        <v>1</v>
      </c>
      <c r="E11" s="8" t="s">
        <v>60</v>
      </c>
      <c r="F11" s="8" t="s">
        <v>99</v>
      </c>
      <c r="G11" s="8" t="s">
        <v>100</v>
      </c>
      <c r="H11" s="8" t="s">
        <v>101</v>
      </c>
      <c r="I11" s="8" t="s">
        <v>72</v>
      </c>
      <c r="J11" s="8" t="s">
        <v>73</v>
      </c>
      <c r="K11" s="75">
        <v>15</v>
      </c>
      <c r="L11" s="98"/>
      <c r="M11" s="6"/>
      <c r="N11" s="32" t="s">
        <v>102</v>
      </c>
      <c r="O11" s="33">
        <f>O10-(O4)</f>
        <v>368.53999999999996</v>
      </c>
      <c r="P11" s="34">
        <f>P10-P4</f>
        <v>23</v>
      </c>
      <c r="Q11" s="6"/>
      <c r="R11" s="6"/>
      <c r="S11" s="6"/>
      <c r="T11" s="6"/>
      <c r="U11" s="6"/>
      <c r="V11" s="6"/>
      <c r="W11" s="6"/>
      <c r="X11" s="6"/>
      <c r="Y11" s="6"/>
      <c r="Z11" s="6"/>
      <c r="AA11" s="6"/>
      <c r="AB11" s="6"/>
    </row>
    <row r="12" spans="1:28">
      <c r="A12" s="12" t="s">
        <v>137</v>
      </c>
      <c r="B12" s="11">
        <v>45699</v>
      </c>
      <c r="C12" s="13" t="s">
        <v>74</v>
      </c>
      <c r="D12" s="9">
        <f t="shared" si="0"/>
        <v>3</v>
      </c>
      <c r="E12" s="13" t="s">
        <v>60</v>
      </c>
      <c r="F12" s="13" t="s">
        <v>103</v>
      </c>
      <c r="G12" s="13" t="s">
        <v>104</v>
      </c>
      <c r="H12" s="13" t="s">
        <v>105</v>
      </c>
      <c r="I12" s="13" t="s">
        <v>106</v>
      </c>
      <c r="J12" s="13" t="s">
        <v>73</v>
      </c>
      <c r="K12" s="76">
        <v>19.77</v>
      </c>
      <c r="L12" s="98"/>
      <c r="M12" s="6"/>
      <c r="N12" s="32" t="s">
        <v>188</v>
      </c>
      <c r="O12" s="33">
        <f>O11-O7</f>
        <v>350.53999999999996</v>
      </c>
      <c r="P12" s="34">
        <f>P11-P7</f>
        <v>21</v>
      </c>
      <c r="Q12" s="35"/>
      <c r="R12" s="6"/>
      <c r="S12" s="6"/>
      <c r="T12" s="6"/>
      <c r="U12" s="6"/>
      <c r="V12" s="6"/>
      <c r="W12" s="6"/>
      <c r="X12" s="6"/>
      <c r="Y12" s="6"/>
      <c r="Z12" s="6"/>
      <c r="AA12" s="6"/>
      <c r="AB12" s="6"/>
    </row>
    <row r="13" spans="1:28" ht="15.75" thickBot="1">
      <c r="A13" s="12" t="s">
        <v>137</v>
      </c>
      <c r="B13" s="11">
        <v>45701</v>
      </c>
      <c r="C13" s="17" t="s">
        <v>107</v>
      </c>
      <c r="D13" s="12">
        <f t="shared" ref="D13:D23" si="2">VALUE(RIGHT(C13,10))-VALUE(RIGHT(B13,10))</f>
        <v>5</v>
      </c>
      <c r="E13" s="13" t="s">
        <v>60</v>
      </c>
      <c r="F13" s="13" t="s">
        <v>108</v>
      </c>
      <c r="G13" s="13" t="s">
        <v>109</v>
      </c>
      <c r="H13" s="13" t="s">
        <v>110</v>
      </c>
      <c r="I13" s="13" t="s">
        <v>80</v>
      </c>
      <c r="J13" s="13" t="s">
        <v>73</v>
      </c>
      <c r="K13" s="76">
        <v>24.99</v>
      </c>
      <c r="L13" s="98"/>
      <c r="T13" s="6"/>
      <c r="U13" s="6"/>
      <c r="V13" s="6"/>
      <c r="W13" s="6"/>
      <c r="X13" s="6"/>
      <c r="Y13" s="6"/>
      <c r="Z13" s="6"/>
      <c r="AA13" s="6"/>
      <c r="AB13" s="6"/>
    </row>
    <row r="14" spans="1:28" ht="15.75" thickTop="1">
      <c r="A14" s="12" t="s">
        <v>137</v>
      </c>
      <c r="B14" s="11">
        <v>45701</v>
      </c>
      <c r="C14" s="17" t="s">
        <v>107</v>
      </c>
      <c r="D14" s="12">
        <f t="shared" si="2"/>
        <v>5</v>
      </c>
      <c r="E14" s="13" t="s">
        <v>60</v>
      </c>
      <c r="F14" s="13" t="s">
        <v>114</v>
      </c>
      <c r="G14" s="13" t="s">
        <v>115</v>
      </c>
      <c r="H14" s="13" t="s">
        <v>116</v>
      </c>
      <c r="I14" s="13" t="s">
        <v>80</v>
      </c>
      <c r="J14" s="13" t="s">
        <v>73</v>
      </c>
      <c r="K14" s="76">
        <v>19</v>
      </c>
      <c r="L14" s="98"/>
      <c r="M14" s="176" t="s">
        <v>111</v>
      </c>
      <c r="N14" s="177"/>
      <c r="O14" s="177"/>
      <c r="P14" s="180" t="s">
        <v>112</v>
      </c>
      <c r="Q14" s="181"/>
      <c r="R14" s="182" t="s">
        <v>113</v>
      </c>
      <c r="S14" s="183"/>
      <c r="T14" s="6"/>
      <c r="U14" s="6"/>
      <c r="V14" s="6"/>
      <c r="W14" s="6"/>
      <c r="X14" s="6"/>
      <c r="Y14" s="6"/>
      <c r="Z14" s="6"/>
      <c r="AA14" s="6"/>
      <c r="AB14" s="6"/>
    </row>
    <row r="15" spans="1:28" ht="15.75" thickBot="1">
      <c r="A15" s="24" t="s">
        <v>137</v>
      </c>
      <c r="B15" s="23">
        <v>45702</v>
      </c>
      <c r="C15" s="25" t="s">
        <v>86</v>
      </c>
      <c r="D15" s="25">
        <f t="shared" si="2"/>
        <v>6</v>
      </c>
      <c r="E15" s="25" t="s">
        <v>60</v>
      </c>
      <c r="F15" s="25" t="s">
        <v>120</v>
      </c>
      <c r="G15" s="25" t="s">
        <v>121</v>
      </c>
      <c r="H15" s="25" t="s">
        <v>122</v>
      </c>
      <c r="I15" s="25" t="s">
        <v>72</v>
      </c>
      <c r="J15" s="25" t="s">
        <v>73</v>
      </c>
      <c r="K15" s="77">
        <v>6</v>
      </c>
      <c r="L15" s="99"/>
      <c r="M15" s="124" t="s">
        <v>176</v>
      </c>
      <c r="N15" s="121" t="s">
        <v>117</v>
      </c>
      <c r="O15" s="121" t="s">
        <v>189</v>
      </c>
      <c r="P15" s="122" t="s">
        <v>67</v>
      </c>
      <c r="Q15" s="122" t="s">
        <v>68</v>
      </c>
      <c r="R15" s="122" t="s">
        <v>118</v>
      </c>
      <c r="S15" s="125" t="s">
        <v>119</v>
      </c>
      <c r="T15" s="6"/>
      <c r="U15" s="6"/>
      <c r="V15" s="6"/>
      <c r="W15" s="6"/>
      <c r="X15" s="6"/>
      <c r="Y15" s="6"/>
      <c r="Z15" s="6"/>
      <c r="AA15" s="6"/>
      <c r="AB15" s="6"/>
    </row>
    <row r="16" spans="1:28" ht="15.75" thickTop="1">
      <c r="A16" s="73" t="s">
        <v>143</v>
      </c>
      <c r="B16" s="7" t="s">
        <v>107</v>
      </c>
      <c r="C16" s="8" t="s">
        <v>150</v>
      </c>
      <c r="D16" s="38">
        <f t="shared" si="2"/>
        <v>6</v>
      </c>
      <c r="E16" s="8" t="s">
        <v>60</v>
      </c>
      <c r="F16" s="8" t="s">
        <v>125</v>
      </c>
      <c r="G16" s="8" t="s">
        <v>126</v>
      </c>
      <c r="H16" s="8" t="s">
        <v>127</v>
      </c>
      <c r="I16" s="8" t="s">
        <v>80</v>
      </c>
      <c r="J16" s="8" t="s">
        <v>73</v>
      </c>
      <c r="K16" s="75">
        <v>8.5</v>
      </c>
      <c r="L16" s="98"/>
      <c r="M16" s="174">
        <v>1</v>
      </c>
      <c r="N16" s="118" t="s">
        <v>123</v>
      </c>
      <c r="O16" s="9" t="s">
        <v>124</v>
      </c>
      <c r="P16" s="119">
        <f t="shared" ref="P16:P22" si="3">SUMIFS(K:K, A:A, O16, J:J, "&lt;&gt;ANNULLATO")</f>
        <v>26.46</v>
      </c>
      <c r="Q16" s="9">
        <f t="shared" ref="Q16:Q22" si="4">COUNTIFS(A:A, O16, J:J, "&lt;&gt;ANNULLATO")</f>
        <v>4</v>
      </c>
      <c r="R16" s="120">
        <f>P16/Q16</f>
        <v>6.6150000000000002</v>
      </c>
      <c r="S16" s="126">
        <f t="shared" ref="S16:S19" si="5">P16/6</f>
        <v>4.41</v>
      </c>
      <c r="T16" s="6"/>
      <c r="U16" s="6"/>
      <c r="V16" s="6"/>
      <c r="W16" s="6"/>
      <c r="X16" s="6"/>
      <c r="Y16" s="6"/>
      <c r="Z16" s="6"/>
      <c r="AA16" s="6"/>
      <c r="AB16" s="6"/>
    </row>
    <row r="17" spans="1:28">
      <c r="A17" s="37" t="s">
        <v>143</v>
      </c>
      <c r="B17" s="11" t="s">
        <v>107</v>
      </c>
      <c r="C17" s="11" t="s">
        <v>107</v>
      </c>
      <c r="D17" s="13">
        <f t="shared" si="2"/>
        <v>0</v>
      </c>
      <c r="E17" s="13" t="s">
        <v>60</v>
      </c>
      <c r="F17" s="13" t="s">
        <v>131</v>
      </c>
      <c r="G17" s="13" t="s">
        <v>132</v>
      </c>
      <c r="H17" s="13" t="s">
        <v>133</v>
      </c>
      <c r="I17" s="13" t="s">
        <v>134</v>
      </c>
      <c r="J17" s="13" t="s">
        <v>135</v>
      </c>
      <c r="K17" s="76">
        <v>8</v>
      </c>
      <c r="L17" s="98"/>
      <c r="M17" s="174"/>
      <c r="N17" s="72" t="s">
        <v>129</v>
      </c>
      <c r="O17" s="37" t="s">
        <v>130</v>
      </c>
      <c r="P17" s="82">
        <f t="shared" si="3"/>
        <v>28.33</v>
      </c>
      <c r="Q17" s="83">
        <f t="shared" si="4"/>
        <v>3</v>
      </c>
      <c r="R17" s="84">
        <f t="shared" ref="R17:R22" si="6">P17/Q17</f>
        <v>9.4433333333333334</v>
      </c>
      <c r="S17" s="127">
        <f t="shared" si="5"/>
        <v>4.7216666666666667</v>
      </c>
      <c r="T17" s="6"/>
      <c r="U17" s="6"/>
      <c r="V17" s="6"/>
      <c r="W17" s="6"/>
      <c r="X17" s="6"/>
      <c r="Y17" s="6"/>
      <c r="Z17" s="6"/>
      <c r="AA17" s="6"/>
      <c r="AB17" s="6"/>
    </row>
    <row r="18" spans="1:28">
      <c r="A18" s="37" t="s">
        <v>143</v>
      </c>
      <c r="B18" s="11" t="s">
        <v>138</v>
      </c>
      <c r="C18" s="13" t="s">
        <v>151</v>
      </c>
      <c r="D18" s="8">
        <f t="shared" si="2"/>
        <v>6</v>
      </c>
      <c r="E18" s="13" t="s">
        <v>60</v>
      </c>
      <c r="F18" s="13" t="s">
        <v>139</v>
      </c>
      <c r="G18" s="13" t="s">
        <v>140</v>
      </c>
      <c r="H18" s="13" t="s">
        <v>141</v>
      </c>
      <c r="I18" s="13" t="s">
        <v>80</v>
      </c>
      <c r="J18" s="13" t="s">
        <v>73</v>
      </c>
      <c r="K18" s="76">
        <v>18</v>
      </c>
      <c r="L18" s="98"/>
      <c r="M18" s="174"/>
      <c r="N18" s="71" t="s">
        <v>136</v>
      </c>
      <c r="O18" s="12" t="s">
        <v>137</v>
      </c>
      <c r="P18" s="60">
        <f t="shared" si="3"/>
        <v>84.759999999999991</v>
      </c>
      <c r="Q18" s="12">
        <f t="shared" si="4"/>
        <v>5</v>
      </c>
      <c r="R18" s="36">
        <f t="shared" si="6"/>
        <v>16.951999999999998</v>
      </c>
      <c r="S18" s="128">
        <f t="shared" si="5"/>
        <v>14.126666666666665</v>
      </c>
      <c r="T18" s="6"/>
      <c r="U18" s="6"/>
      <c r="V18" s="6"/>
      <c r="W18" s="6"/>
      <c r="X18" s="6"/>
      <c r="Y18" s="6"/>
      <c r="Z18" s="6"/>
      <c r="AA18" s="6"/>
      <c r="AB18" s="6"/>
    </row>
    <row r="19" spans="1:28" ht="15.75" thickBot="1">
      <c r="A19" s="74" t="s">
        <v>143</v>
      </c>
      <c r="B19" s="23" t="s">
        <v>144</v>
      </c>
      <c r="C19" s="23" t="s">
        <v>190</v>
      </c>
      <c r="D19" s="25">
        <f t="shared" si="2"/>
        <v>5</v>
      </c>
      <c r="E19" s="25" t="s">
        <v>60</v>
      </c>
      <c r="F19" s="23" t="s">
        <v>145</v>
      </c>
      <c r="G19" s="23" t="s">
        <v>146</v>
      </c>
      <c r="H19" s="23" t="s">
        <v>147</v>
      </c>
      <c r="I19" s="23" t="s">
        <v>106</v>
      </c>
      <c r="J19" s="23" t="s">
        <v>73</v>
      </c>
      <c r="K19" s="77">
        <v>45</v>
      </c>
      <c r="L19" s="98"/>
      <c r="M19" s="174"/>
      <c r="N19" s="72" t="s">
        <v>142</v>
      </c>
      <c r="O19" s="37" t="s">
        <v>143</v>
      </c>
      <c r="P19" s="82">
        <f t="shared" si="3"/>
        <v>79.5</v>
      </c>
      <c r="Q19" s="83">
        <f t="shared" si="4"/>
        <v>4</v>
      </c>
      <c r="R19" s="84">
        <f t="shared" si="6"/>
        <v>19.875</v>
      </c>
      <c r="S19" s="127">
        <f t="shared" si="5"/>
        <v>13.25</v>
      </c>
      <c r="T19" s="6"/>
      <c r="U19" s="6"/>
      <c r="V19" s="6"/>
      <c r="W19" s="6"/>
      <c r="X19" s="6"/>
      <c r="Y19" s="6"/>
      <c r="Z19" s="6"/>
      <c r="AA19" s="6"/>
      <c r="AB19" s="6"/>
    </row>
    <row r="20" spans="1:28" ht="16.5" thickTop="1" thickBot="1">
      <c r="A20" s="9" t="s">
        <v>149</v>
      </c>
      <c r="B20" s="56" t="s">
        <v>151</v>
      </c>
      <c r="C20" s="56" t="s">
        <v>151</v>
      </c>
      <c r="D20" s="57">
        <f t="shared" si="2"/>
        <v>0</v>
      </c>
      <c r="E20" s="57" t="s">
        <v>60</v>
      </c>
      <c r="F20" s="57" t="s">
        <v>60</v>
      </c>
      <c r="G20" s="58" t="s">
        <v>152</v>
      </c>
      <c r="H20" s="58" t="s">
        <v>153</v>
      </c>
      <c r="I20" s="58" t="s">
        <v>134</v>
      </c>
      <c r="J20" s="59" t="s">
        <v>135</v>
      </c>
      <c r="K20" s="78">
        <v>10</v>
      </c>
      <c r="L20" s="123"/>
      <c r="M20" s="175"/>
      <c r="N20" s="109" t="s">
        <v>148</v>
      </c>
      <c r="O20" s="110" t="s">
        <v>149</v>
      </c>
      <c r="P20" s="111">
        <f t="shared" si="3"/>
        <v>59.989999999999995</v>
      </c>
      <c r="Q20" s="110">
        <f t="shared" si="4"/>
        <v>3</v>
      </c>
      <c r="R20" s="112">
        <f t="shared" si="6"/>
        <v>19.996666666666666</v>
      </c>
      <c r="S20" s="129">
        <f>P20/6</f>
        <v>9.9983333333333331</v>
      </c>
      <c r="T20" s="6"/>
      <c r="U20" s="6"/>
      <c r="V20" s="6"/>
      <c r="W20" s="6"/>
      <c r="X20" s="6"/>
      <c r="Y20" s="6"/>
      <c r="Z20" s="6"/>
      <c r="AA20" s="6"/>
      <c r="AB20" s="6"/>
    </row>
    <row r="21" spans="1:28" ht="15.75" customHeight="1" thickTop="1">
      <c r="A21" s="12" t="s">
        <v>149</v>
      </c>
      <c r="B21" s="91" t="s">
        <v>172</v>
      </c>
      <c r="C21" s="92" t="s">
        <v>204</v>
      </c>
      <c r="D21" s="57">
        <f t="shared" si="2"/>
        <v>2</v>
      </c>
      <c r="E21" s="93" t="s">
        <v>60</v>
      </c>
      <c r="F21" s="91" t="s">
        <v>175</v>
      </c>
      <c r="G21" s="91" t="s">
        <v>174</v>
      </c>
      <c r="H21" s="91" t="s">
        <v>173</v>
      </c>
      <c r="I21" s="91" t="s">
        <v>72</v>
      </c>
      <c r="J21" s="92" t="s">
        <v>73</v>
      </c>
      <c r="K21" s="94">
        <v>25</v>
      </c>
      <c r="L21" s="6"/>
      <c r="M21" s="173">
        <v>2</v>
      </c>
      <c r="N21" s="113" t="s">
        <v>123</v>
      </c>
      <c r="O21" s="114" t="s">
        <v>201</v>
      </c>
      <c r="P21" s="147">
        <f t="shared" si="3"/>
        <v>8.5</v>
      </c>
      <c r="Q21" s="149">
        <f t="shared" si="4"/>
        <v>1</v>
      </c>
      <c r="R21" s="147">
        <f t="shared" si="6"/>
        <v>8.5</v>
      </c>
      <c r="S21" s="150">
        <f>P21/6</f>
        <v>1.4166666666666667</v>
      </c>
      <c r="T21" s="6"/>
      <c r="U21" s="6"/>
      <c r="V21" s="6"/>
      <c r="W21" s="6"/>
      <c r="X21" s="6"/>
      <c r="Y21" s="6"/>
      <c r="Z21" s="6"/>
      <c r="AA21" s="6"/>
      <c r="AB21" s="6"/>
    </row>
    <row r="22" spans="1:28" ht="15.75" customHeight="1" thickBot="1">
      <c r="A22" s="95" t="s">
        <v>149</v>
      </c>
      <c r="B22" s="138" t="s">
        <v>205</v>
      </c>
      <c r="C22" s="137" t="s">
        <v>206</v>
      </c>
      <c r="D22" s="139">
        <f t="shared" si="2"/>
        <v>7</v>
      </c>
      <c r="E22" s="101" t="s">
        <v>60</v>
      </c>
      <c r="F22" s="101" t="s">
        <v>191</v>
      </c>
      <c r="G22" s="101" t="s">
        <v>192</v>
      </c>
      <c r="H22" s="101" t="s">
        <v>193</v>
      </c>
      <c r="I22" s="101" t="s">
        <v>80</v>
      </c>
      <c r="J22" s="138" t="s">
        <v>73</v>
      </c>
      <c r="K22" s="102">
        <v>24.99</v>
      </c>
      <c r="L22" s="100"/>
      <c r="M22" s="174"/>
      <c r="N22" s="105" t="s">
        <v>129</v>
      </c>
      <c r="O22" s="106" t="s">
        <v>199</v>
      </c>
      <c r="P22" s="148">
        <f t="shared" si="3"/>
        <v>81</v>
      </c>
      <c r="Q22" s="151">
        <f t="shared" si="4"/>
        <v>3</v>
      </c>
      <c r="R22" s="152">
        <f t="shared" si="6"/>
        <v>27</v>
      </c>
      <c r="S22" s="153">
        <f>P22/6</f>
        <v>13.5</v>
      </c>
    </row>
    <row r="23" spans="1:28" ht="15.75" customHeight="1" thickTop="1" thickBot="1">
      <c r="A23" s="145" t="s">
        <v>201</v>
      </c>
      <c r="B23" s="141" t="s">
        <v>195</v>
      </c>
      <c r="C23" s="142" t="s">
        <v>206</v>
      </c>
      <c r="D23" s="143">
        <f t="shared" si="2"/>
        <v>5</v>
      </c>
      <c r="E23" s="141" t="s">
        <v>60</v>
      </c>
      <c r="F23" s="141" t="s">
        <v>196</v>
      </c>
      <c r="G23" s="141" t="s">
        <v>197</v>
      </c>
      <c r="H23" s="141" t="s">
        <v>198</v>
      </c>
      <c r="I23" s="141" t="s">
        <v>80</v>
      </c>
      <c r="J23" s="141" t="s">
        <v>73</v>
      </c>
      <c r="K23" s="144">
        <v>8.5</v>
      </c>
      <c r="L23" s="6"/>
      <c r="M23" s="174"/>
      <c r="N23" s="103" t="s">
        <v>136</v>
      </c>
      <c r="O23" s="107" t="s">
        <v>200</v>
      </c>
      <c r="P23" s="104"/>
      <c r="Q23" s="104"/>
      <c r="R23" s="104"/>
      <c r="S23" s="130"/>
      <c r="T23" s="6"/>
      <c r="U23" s="6"/>
      <c r="V23" s="6"/>
      <c r="W23" s="6"/>
      <c r="X23" s="6"/>
      <c r="Y23" s="6"/>
      <c r="Z23" s="6"/>
      <c r="AA23" s="6"/>
      <c r="AB23" s="6"/>
    </row>
    <row r="24" spans="1:28" ht="15.75" customHeight="1" thickTop="1">
      <c r="A24" s="155" t="s">
        <v>199</v>
      </c>
      <c r="B24" s="140" t="s">
        <v>207</v>
      </c>
      <c r="C24" s="9"/>
      <c r="D24" s="9"/>
      <c r="E24" s="140" t="s">
        <v>60</v>
      </c>
      <c r="F24" s="140" t="s">
        <v>208</v>
      </c>
      <c r="G24" s="140" t="s">
        <v>209</v>
      </c>
      <c r="H24" s="140" t="s">
        <v>210</v>
      </c>
      <c r="I24" s="140" t="s">
        <v>72</v>
      </c>
      <c r="J24" s="140" t="s">
        <v>128</v>
      </c>
      <c r="K24" s="146">
        <v>19</v>
      </c>
      <c r="L24" s="6"/>
      <c r="M24" s="174"/>
      <c r="N24" s="105" t="s">
        <v>142</v>
      </c>
      <c r="O24" s="108" t="s">
        <v>202</v>
      </c>
      <c r="P24" s="61"/>
      <c r="Q24" s="61"/>
      <c r="R24" s="61"/>
      <c r="S24" s="79"/>
      <c r="T24" s="6"/>
      <c r="U24" s="6"/>
      <c r="V24" s="6"/>
      <c r="W24" s="6"/>
      <c r="X24" s="6"/>
      <c r="Y24" s="6"/>
      <c r="Z24" s="6"/>
      <c r="AA24" s="6"/>
      <c r="AB24" s="6"/>
    </row>
    <row r="25" spans="1:28" ht="15.75" customHeight="1" thickBot="1">
      <c r="A25" s="106" t="s">
        <v>199</v>
      </c>
      <c r="B25" s="106" t="s">
        <v>211</v>
      </c>
      <c r="C25" s="12"/>
      <c r="D25" s="12"/>
      <c r="E25" s="106" t="s">
        <v>60</v>
      </c>
      <c r="F25" s="106" t="s">
        <v>212</v>
      </c>
      <c r="G25" s="106" t="s">
        <v>213</v>
      </c>
      <c r="H25" s="106" t="s">
        <v>214</v>
      </c>
      <c r="I25" s="12" t="s">
        <v>72</v>
      </c>
      <c r="J25" s="106" t="s">
        <v>73</v>
      </c>
      <c r="K25" s="154">
        <v>52</v>
      </c>
      <c r="L25" s="6"/>
      <c r="M25" s="175"/>
      <c r="N25" s="115" t="s">
        <v>148</v>
      </c>
      <c r="O25" s="116" t="s">
        <v>203</v>
      </c>
      <c r="P25" s="117"/>
      <c r="Q25" s="117"/>
      <c r="R25" s="117"/>
      <c r="S25" s="131"/>
      <c r="T25" s="6"/>
      <c r="U25" s="6"/>
      <c r="V25" s="6"/>
      <c r="W25" s="6"/>
      <c r="X25" s="6"/>
      <c r="Y25" s="6"/>
      <c r="Z25" s="6"/>
      <c r="AA25" s="6"/>
      <c r="AB25" s="6"/>
    </row>
    <row r="26" spans="1:28" ht="15.75" customHeight="1" thickTop="1" thickBot="1">
      <c r="A26" s="106" t="s">
        <v>199</v>
      </c>
      <c r="B26" s="12" t="s">
        <v>215</v>
      </c>
      <c r="C26" s="12"/>
      <c r="D26" s="12"/>
      <c r="E26" s="12" t="s">
        <v>60</v>
      </c>
      <c r="F26" s="12" t="s">
        <v>216</v>
      </c>
      <c r="G26" s="12" t="s">
        <v>70</v>
      </c>
      <c r="H26" s="12" t="s">
        <v>217</v>
      </c>
      <c r="I26" s="12" t="s">
        <v>106</v>
      </c>
      <c r="J26" s="12" t="s">
        <v>128</v>
      </c>
      <c r="K26" s="154">
        <v>10</v>
      </c>
      <c r="L26" s="6"/>
      <c r="M26" s="136"/>
      <c r="N26" s="135">
        <f>COUNTA(N16:N25)</f>
        <v>10</v>
      </c>
      <c r="O26" s="132">
        <f ca="1">TODAY()-VALUE(RIGHT(B3,10))-3</f>
        <v>42</v>
      </c>
      <c r="P26" s="133">
        <f>SUM(P16:P22)</f>
        <v>368.53999999999996</v>
      </c>
      <c r="Q26" s="132">
        <f>SUM(Q16:Q21)</f>
        <v>20</v>
      </c>
      <c r="R26" s="133">
        <f>P26/Q26</f>
        <v>18.427</v>
      </c>
      <c r="S26" s="134">
        <f ca="1">P26/O26</f>
        <v>8.7747619047619043</v>
      </c>
      <c r="T26" s="6"/>
      <c r="U26" s="6"/>
      <c r="V26" s="6"/>
      <c r="W26" s="6"/>
      <c r="X26" s="6"/>
      <c r="Y26" s="6"/>
      <c r="Z26" s="6"/>
      <c r="AA26" s="6"/>
      <c r="AB26" s="6"/>
    </row>
    <row r="27" spans="1:28" ht="15.75" customHeight="1" thickTop="1">
      <c r="B27" s="6"/>
      <c r="C27" s="6"/>
      <c r="D27" s="6"/>
      <c r="E27" s="6"/>
      <c r="F27" s="6"/>
      <c r="G27" s="6"/>
      <c r="H27" s="6"/>
      <c r="I27" s="6"/>
      <c r="J27" s="6"/>
      <c r="K27" s="6"/>
      <c r="L27" s="6"/>
      <c r="M27" s="6"/>
      <c r="N27" s="6"/>
      <c r="O27" s="6"/>
      <c r="P27" s="6"/>
      <c r="Q27" s="6"/>
      <c r="R27" s="6"/>
      <c r="S27" s="6"/>
      <c r="T27" s="6"/>
      <c r="U27" s="6"/>
      <c r="V27" s="6"/>
      <c r="W27" s="6"/>
      <c r="X27" s="6"/>
      <c r="Y27" s="6"/>
      <c r="Z27" s="6"/>
      <c r="AA27" s="6"/>
      <c r="AB27" s="6"/>
    </row>
    <row r="28" spans="1:28" ht="15.75" customHeight="1">
      <c r="B28" s="6"/>
      <c r="C28" s="6"/>
      <c r="D28" s="6"/>
      <c r="E28" s="6"/>
      <c r="F28" s="6"/>
      <c r="G28" s="6"/>
      <c r="H28" s="6"/>
      <c r="I28" s="6"/>
      <c r="J28" s="6"/>
      <c r="K28" s="6"/>
      <c r="L28" s="6"/>
      <c r="M28" s="6"/>
      <c r="N28" s="6"/>
      <c r="O28" s="6"/>
      <c r="P28" s="6"/>
      <c r="Q28" s="6"/>
      <c r="R28" s="6"/>
      <c r="S28" s="6"/>
      <c r="T28" s="6"/>
      <c r="U28" s="6"/>
      <c r="V28" s="6"/>
      <c r="W28" s="6"/>
      <c r="X28" s="6"/>
      <c r="Y28" s="6"/>
      <c r="Z28" s="6"/>
      <c r="AA28" s="6"/>
      <c r="AB28" s="6"/>
    </row>
    <row r="29" spans="1:28" ht="15.75" customHeight="1">
      <c r="B29" s="6"/>
      <c r="C29" s="6"/>
      <c r="D29" s="6"/>
      <c r="E29" s="6"/>
      <c r="F29" s="6"/>
      <c r="G29" s="6"/>
      <c r="H29" s="6"/>
      <c r="I29" s="6"/>
      <c r="J29" s="6"/>
      <c r="K29" s="6"/>
      <c r="L29" s="6"/>
      <c r="M29" s="6"/>
      <c r="N29" s="6"/>
      <c r="O29" s="6"/>
      <c r="P29" s="6"/>
      <c r="Q29" s="6"/>
      <c r="R29" s="6"/>
      <c r="S29" s="6"/>
      <c r="T29" s="6"/>
      <c r="U29" s="6"/>
      <c r="V29" s="6"/>
      <c r="W29" s="6"/>
      <c r="X29" s="6"/>
      <c r="Y29" s="6"/>
      <c r="Z29" s="6"/>
      <c r="AA29" s="6"/>
      <c r="AB29" s="6"/>
    </row>
    <row r="30" spans="1:28" ht="15.75" customHeight="1">
      <c r="B30" s="6"/>
      <c r="C30" s="6"/>
      <c r="D30" s="6"/>
      <c r="E30" s="6"/>
      <c r="F30" s="6"/>
      <c r="G30" s="6"/>
      <c r="H30" s="6"/>
      <c r="I30" s="6"/>
      <c r="J30" s="6"/>
      <c r="K30" s="6"/>
      <c r="L30" s="6"/>
      <c r="M30" s="6"/>
      <c r="N30" s="6"/>
      <c r="O30" s="6"/>
      <c r="P30" s="6"/>
      <c r="Q30" s="6"/>
      <c r="R30" s="6"/>
      <c r="S30" s="6"/>
      <c r="T30" s="6"/>
      <c r="U30" s="6"/>
      <c r="V30" s="6"/>
      <c r="W30" s="6"/>
      <c r="X30" s="6"/>
      <c r="Y30" s="6"/>
      <c r="Z30" s="6"/>
      <c r="AA30" s="6"/>
      <c r="AB30" s="6"/>
    </row>
    <row r="31" spans="1:28" ht="15.75" customHeight="1">
      <c r="B31" s="6"/>
      <c r="C31" s="6"/>
      <c r="D31" s="6"/>
      <c r="E31" s="6"/>
      <c r="F31" s="6"/>
      <c r="G31" s="6"/>
      <c r="H31" s="6"/>
      <c r="I31" s="6"/>
      <c r="J31" s="6"/>
      <c r="K31" s="6"/>
      <c r="L31" s="6"/>
      <c r="M31" s="6"/>
      <c r="N31" s="6"/>
      <c r="O31" s="6"/>
      <c r="P31" s="6"/>
      <c r="Q31" s="6"/>
      <c r="R31" s="6"/>
      <c r="S31" s="6"/>
      <c r="T31" s="6"/>
      <c r="U31" s="6"/>
      <c r="V31" s="6"/>
      <c r="W31" s="6"/>
      <c r="X31" s="6"/>
      <c r="Y31" s="6"/>
      <c r="Z31" s="6"/>
      <c r="AA31" s="6"/>
      <c r="AB31" s="6"/>
    </row>
    <row r="32" spans="1:28" ht="15.75" customHeight="1">
      <c r="B32" s="6"/>
      <c r="C32" s="6"/>
      <c r="D32" s="6"/>
      <c r="E32" s="6"/>
      <c r="F32" s="6"/>
      <c r="G32" s="6"/>
      <c r="H32" s="6"/>
      <c r="I32" s="6"/>
      <c r="J32" s="6"/>
      <c r="K32" s="6"/>
      <c r="L32" s="6"/>
      <c r="M32" s="6"/>
      <c r="N32" s="6"/>
      <c r="O32" s="6"/>
      <c r="P32" s="6"/>
      <c r="Q32" s="6"/>
      <c r="R32" s="6"/>
      <c r="S32" s="6"/>
      <c r="T32" s="6"/>
      <c r="U32" s="6"/>
      <c r="V32" s="6"/>
      <c r="W32" s="6"/>
      <c r="X32" s="6"/>
      <c r="Y32" s="6"/>
      <c r="Z32" s="6"/>
      <c r="AA32" s="6"/>
      <c r="AB32" s="6"/>
    </row>
    <row r="33" spans="2:28" ht="15.75" customHeight="1">
      <c r="B33" s="6"/>
      <c r="C33" s="6"/>
      <c r="D33" s="6"/>
      <c r="E33" s="6"/>
      <c r="F33" s="6"/>
      <c r="G33" s="6"/>
      <c r="H33" s="6"/>
      <c r="I33" s="6"/>
      <c r="J33" s="6"/>
      <c r="K33" s="6"/>
      <c r="L33" s="6"/>
      <c r="M33" s="6"/>
      <c r="N33" s="6"/>
      <c r="O33" s="6"/>
      <c r="P33" s="6"/>
      <c r="Q33" s="6"/>
      <c r="R33" s="6"/>
      <c r="S33" s="6"/>
      <c r="T33" s="6"/>
      <c r="U33" s="6"/>
      <c r="V33" s="6"/>
      <c r="W33" s="6"/>
      <c r="X33" s="6"/>
      <c r="Y33" s="6"/>
      <c r="Z33" s="6"/>
      <c r="AA33" s="6"/>
      <c r="AB33" s="6"/>
    </row>
    <row r="34" spans="2:28" ht="15.75" customHeight="1">
      <c r="B34" s="6"/>
      <c r="C34" s="6"/>
      <c r="D34" s="6"/>
      <c r="E34" s="6"/>
      <c r="F34" s="6"/>
      <c r="G34" s="6"/>
      <c r="H34" s="6"/>
      <c r="I34" s="6"/>
      <c r="J34" s="6"/>
      <c r="K34" s="6"/>
      <c r="L34" s="6"/>
      <c r="M34" s="6"/>
      <c r="N34" s="6"/>
      <c r="O34" s="6"/>
      <c r="P34" s="6"/>
      <c r="Q34" s="6"/>
      <c r="R34" s="6"/>
      <c r="S34" s="6"/>
      <c r="T34" s="6"/>
      <c r="U34" s="6"/>
      <c r="V34" s="6"/>
      <c r="W34" s="6"/>
      <c r="X34" s="6"/>
      <c r="Y34" s="6"/>
      <c r="Z34" s="6"/>
      <c r="AA34" s="6"/>
      <c r="AB34" s="6"/>
    </row>
    <row r="35" spans="2:28" ht="15.75" customHeight="1">
      <c r="B35" s="6"/>
      <c r="C35" s="6"/>
      <c r="D35" s="6"/>
      <c r="E35" s="6"/>
      <c r="F35" s="6"/>
      <c r="G35" s="6"/>
      <c r="H35" s="6"/>
      <c r="I35" s="6"/>
      <c r="J35" s="6"/>
      <c r="K35" s="6"/>
      <c r="L35" s="6"/>
      <c r="M35" s="6"/>
      <c r="N35" s="6"/>
      <c r="O35" s="6"/>
      <c r="P35" s="6"/>
      <c r="Q35" s="6"/>
      <c r="R35" s="6"/>
      <c r="S35" s="6"/>
      <c r="T35" s="6"/>
      <c r="U35" s="6"/>
      <c r="V35" s="6"/>
      <c r="W35" s="6"/>
      <c r="X35" s="6"/>
      <c r="Y35" s="6"/>
      <c r="Z35" s="6"/>
      <c r="AA35" s="6"/>
      <c r="AB35" s="6"/>
    </row>
    <row r="36" spans="2:28" ht="15.75" customHeight="1">
      <c r="B36" s="6"/>
      <c r="C36" s="6"/>
      <c r="D36" s="6"/>
      <c r="E36" s="6"/>
      <c r="F36" s="6"/>
      <c r="G36" s="6"/>
      <c r="H36" s="6"/>
      <c r="I36" s="6"/>
      <c r="J36" s="6"/>
      <c r="K36" s="6"/>
      <c r="L36" s="6"/>
      <c r="M36" s="6"/>
      <c r="N36" s="6"/>
      <c r="O36" s="6"/>
      <c r="P36" s="6"/>
      <c r="Q36" s="6"/>
      <c r="R36" s="6"/>
      <c r="S36" s="6"/>
      <c r="T36" s="6"/>
      <c r="U36" s="6"/>
      <c r="V36" s="6"/>
      <c r="W36" s="6"/>
      <c r="X36" s="6"/>
      <c r="Y36" s="6"/>
      <c r="Z36" s="6"/>
      <c r="AA36" s="6"/>
      <c r="AB36" s="6"/>
    </row>
    <row r="37" spans="2:28" ht="15.75" customHeight="1">
      <c r="B37" s="6"/>
      <c r="C37" s="6"/>
      <c r="D37" s="6"/>
      <c r="E37" s="6"/>
      <c r="F37" s="6"/>
      <c r="G37" s="6"/>
      <c r="H37" s="6"/>
      <c r="I37" s="6"/>
      <c r="J37" s="6"/>
      <c r="K37" s="6"/>
      <c r="L37" s="6"/>
      <c r="M37" s="6"/>
      <c r="N37" s="6"/>
      <c r="O37" s="6"/>
      <c r="P37" s="6"/>
      <c r="Q37" s="6"/>
      <c r="R37" s="6"/>
      <c r="S37" s="6"/>
      <c r="T37" s="6"/>
      <c r="U37" s="6"/>
      <c r="V37" s="6"/>
      <c r="W37" s="6"/>
      <c r="X37" s="6"/>
      <c r="Y37" s="6"/>
      <c r="Z37" s="6"/>
      <c r="AA37" s="6"/>
      <c r="AB37" s="6"/>
    </row>
    <row r="38" spans="2:28" ht="15.75" customHeight="1">
      <c r="B38" s="6"/>
      <c r="C38" s="6"/>
      <c r="D38" s="6"/>
      <c r="E38" s="6"/>
      <c r="F38" s="6"/>
      <c r="G38" s="6"/>
      <c r="H38" s="6"/>
      <c r="I38" s="6"/>
      <c r="J38" s="6"/>
      <c r="K38" s="6"/>
      <c r="L38" s="6"/>
      <c r="M38" s="6"/>
      <c r="N38" s="6"/>
      <c r="O38" s="6"/>
      <c r="P38" s="6"/>
      <c r="Q38" s="6"/>
      <c r="R38" s="6"/>
      <c r="S38" s="6"/>
      <c r="T38" s="6"/>
      <c r="U38" s="6"/>
      <c r="V38" s="6"/>
      <c r="W38" s="6"/>
      <c r="X38" s="6"/>
      <c r="Y38" s="6"/>
      <c r="Z38" s="6"/>
      <c r="AA38" s="6"/>
      <c r="AB38" s="6"/>
    </row>
    <row r="39" spans="2:28" ht="15.75" customHeight="1">
      <c r="B39" s="6"/>
      <c r="C39" s="6"/>
      <c r="D39" s="6"/>
      <c r="E39" s="6"/>
      <c r="F39" s="6"/>
      <c r="G39" s="6"/>
      <c r="H39" s="6"/>
      <c r="I39" s="6"/>
      <c r="J39" s="6"/>
      <c r="K39" s="6"/>
      <c r="L39" s="6"/>
      <c r="M39" s="6"/>
      <c r="N39" s="6"/>
      <c r="O39" s="6"/>
      <c r="P39" s="6"/>
      <c r="Q39" s="6"/>
      <c r="R39" s="6"/>
      <c r="S39" s="6"/>
      <c r="T39" s="6"/>
      <c r="U39" s="6"/>
      <c r="V39" s="6"/>
      <c r="W39" s="6"/>
      <c r="X39" s="6"/>
      <c r="Y39" s="6"/>
      <c r="Z39" s="6"/>
      <c r="AA39" s="6"/>
      <c r="AB39" s="6"/>
    </row>
    <row r="40" spans="2:28" ht="15.75" customHeight="1">
      <c r="B40" s="6"/>
      <c r="C40" s="6"/>
      <c r="D40" s="6"/>
      <c r="E40" s="6"/>
      <c r="F40" s="6"/>
      <c r="G40" s="6"/>
      <c r="H40" s="6"/>
      <c r="I40" s="6"/>
      <c r="J40" s="6"/>
      <c r="K40" s="6"/>
      <c r="L40" s="6"/>
      <c r="M40" s="6"/>
      <c r="N40" s="6"/>
      <c r="O40" s="6"/>
      <c r="P40" s="6"/>
      <c r="Q40" s="6"/>
      <c r="R40" s="6"/>
      <c r="S40" s="6"/>
      <c r="T40" s="6"/>
      <c r="U40" s="6"/>
      <c r="V40" s="6"/>
      <c r="W40" s="6"/>
      <c r="X40" s="6"/>
      <c r="Y40" s="6"/>
      <c r="Z40" s="6"/>
      <c r="AA40" s="6"/>
      <c r="AB40" s="6"/>
    </row>
    <row r="41" spans="2:28" ht="15.75" customHeight="1">
      <c r="B41" s="6"/>
      <c r="C41" s="6"/>
      <c r="D41" s="6"/>
      <c r="E41" s="6"/>
      <c r="F41" s="6"/>
      <c r="G41" s="6"/>
      <c r="H41" s="6"/>
      <c r="I41" s="6"/>
      <c r="J41" s="6"/>
      <c r="K41" s="6"/>
      <c r="L41" s="6"/>
      <c r="M41" s="6"/>
      <c r="N41" s="6"/>
      <c r="O41" s="6"/>
      <c r="P41" s="6"/>
      <c r="Q41" s="6"/>
      <c r="R41" s="6"/>
      <c r="S41" s="6"/>
      <c r="T41" s="6"/>
      <c r="U41" s="6"/>
      <c r="V41" s="6"/>
      <c r="W41" s="6"/>
      <c r="X41" s="6"/>
      <c r="Y41" s="6"/>
      <c r="Z41" s="6"/>
      <c r="AA41" s="6"/>
      <c r="AB41" s="6"/>
    </row>
    <row r="42" spans="2:28" ht="15.75" customHeight="1">
      <c r="B42" s="6"/>
      <c r="C42" s="6"/>
      <c r="D42" s="6"/>
      <c r="E42" s="6"/>
      <c r="F42" s="6"/>
      <c r="G42" s="6"/>
      <c r="H42" s="6"/>
      <c r="I42" s="6"/>
      <c r="J42" s="6"/>
      <c r="K42" s="6"/>
      <c r="L42" s="6"/>
      <c r="M42" s="6"/>
      <c r="N42" s="6"/>
      <c r="O42" s="6"/>
      <c r="P42" s="6"/>
      <c r="Q42" s="6"/>
      <c r="R42" s="6"/>
      <c r="S42" s="6"/>
      <c r="T42" s="6"/>
      <c r="U42" s="6"/>
      <c r="V42" s="6"/>
      <c r="W42" s="6"/>
      <c r="X42" s="6"/>
      <c r="Y42" s="6"/>
      <c r="Z42" s="6"/>
      <c r="AA42" s="6"/>
      <c r="AB42" s="6"/>
    </row>
    <row r="43" spans="2:28" ht="15.75" customHeight="1">
      <c r="B43" s="6"/>
      <c r="C43" s="6"/>
      <c r="D43" s="6"/>
      <c r="E43" s="6"/>
      <c r="F43" s="6"/>
      <c r="G43" s="6"/>
      <c r="H43" s="6"/>
      <c r="I43" s="6"/>
      <c r="J43" s="6"/>
      <c r="K43" s="6"/>
      <c r="L43" s="6"/>
      <c r="M43" s="6"/>
      <c r="N43" s="6"/>
      <c r="O43" s="6"/>
      <c r="P43" s="6"/>
      <c r="Q43" s="6"/>
      <c r="R43" s="6"/>
      <c r="S43" s="6"/>
      <c r="T43" s="6"/>
      <c r="U43" s="6"/>
      <c r="V43" s="6"/>
      <c r="W43" s="6"/>
      <c r="X43" s="6"/>
      <c r="Y43" s="6"/>
      <c r="Z43" s="6"/>
      <c r="AA43" s="6"/>
      <c r="AB43" s="6"/>
    </row>
    <row r="44" spans="2:28" ht="15.75" customHeight="1">
      <c r="B44" s="6"/>
      <c r="C44" s="6"/>
      <c r="D44" s="6"/>
      <c r="E44" s="6"/>
      <c r="F44" s="6"/>
      <c r="G44" s="6"/>
      <c r="H44" s="6"/>
      <c r="I44" s="6"/>
      <c r="J44" s="6"/>
      <c r="K44" s="6"/>
      <c r="L44" s="6"/>
      <c r="M44" s="6"/>
      <c r="N44" s="6"/>
      <c r="O44" s="6"/>
      <c r="P44" s="6"/>
      <c r="Q44" s="6"/>
      <c r="R44" s="6"/>
      <c r="S44" s="6"/>
      <c r="T44" s="6"/>
      <c r="U44" s="6"/>
      <c r="V44" s="6"/>
      <c r="W44" s="6"/>
      <c r="X44" s="6"/>
      <c r="Y44" s="6"/>
      <c r="Z44" s="6"/>
      <c r="AA44" s="6"/>
      <c r="AB44" s="6"/>
    </row>
    <row r="45" spans="2:28" ht="15.75" customHeight="1">
      <c r="B45" s="6"/>
      <c r="C45" s="6"/>
      <c r="D45" s="6"/>
      <c r="E45" s="6"/>
      <c r="F45" s="6"/>
      <c r="G45" s="6"/>
      <c r="H45" s="6"/>
      <c r="I45" s="6"/>
      <c r="J45" s="6"/>
      <c r="K45" s="6"/>
      <c r="L45" s="6"/>
      <c r="M45" s="6"/>
      <c r="N45" s="6"/>
      <c r="O45" s="6"/>
      <c r="P45" s="6"/>
      <c r="Q45" s="6"/>
      <c r="R45" s="6"/>
      <c r="S45" s="6"/>
      <c r="T45" s="6"/>
      <c r="U45" s="6"/>
      <c r="V45" s="6"/>
      <c r="W45" s="6"/>
      <c r="X45" s="6"/>
      <c r="Y45" s="6"/>
      <c r="Z45" s="6"/>
      <c r="AA45" s="6"/>
      <c r="AB45" s="6"/>
    </row>
    <row r="46" spans="2:28" ht="15.75" customHeight="1">
      <c r="B46" s="6"/>
      <c r="C46" s="6"/>
      <c r="D46" s="6"/>
      <c r="E46" s="6"/>
      <c r="F46" s="6"/>
      <c r="G46" s="6"/>
      <c r="H46" s="6"/>
      <c r="I46" s="6"/>
      <c r="J46" s="6"/>
      <c r="K46" s="6"/>
      <c r="L46" s="6"/>
      <c r="M46" s="6"/>
      <c r="N46" s="6"/>
      <c r="O46" s="6"/>
      <c r="P46" s="6"/>
      <c r="Q46" s="6"/>
      <c r="R46" s="6"/>
      <c r="S46" s="6"/>
      <c r="T46" s="6"/>
      <c r="U46" s="6"/>
      <c r="V46" s="6"/>
      <c r="W46" s="6"/>
      <c r="X46" s="6"/>
      <c r="Y46" s="6"/>
      <c r="Z46" s="6"/>
      <c r="AA46" s="6"/>
      <c r="AB46" s="6"/>
    </row>
    <row r="47" spans="2:28" ht="15.75" customHeight="1">
      <c r="B47" s="6"/>
      <c r="C47" s="6"/>
      <c r="D47" s="6"/>
      <c r="E47" s="6"/>
      <c r="F47" s="6"/>
      <c r="G47" s="6"/>
      <c r="H47" s="6"/>
      <c r="I47" s="6"/>
      <c r="J47" s="6"/>
      <c r="K47" s="6"/>
      <c r="L47" s="6"/>
      <c r="M47" s="6"/>
      <c r="N47" s="6"/>
      <c r="O47" s="6"/>
      <c r="P47" s="6"/>
      <c r="Q47" s="6"/>
      <c r="R47" s="6"/>
      <c r="S47" s="6"/>
      <c r="T47" s="6"/>
      <c r="U47" s="6"/>
      <c r="V47" s="6"/>
      <c r="W47" s="6"/>
      <c r="X47" s="6"/>
      <c r="Y47" s="6"/>
      <c r="Z47" s="6"/>
      <c r="AA47" s="6"/>
      <c r="AB47" s="6"/>
    </row>
    <row r="48" spans="2:28" ht="15.75" customHeight="1">
      <c r="B48" s="6"/>
      <c r="C48" s="6"/>
      <c r="D48" s="6"/>
      <c r="E48" s="6"/>
      <c r="F48" s="6"/>
      <c r="G48" s="6"/>
      <c r="H48" s="6"/>
      <c r="I48" s="6"/>
      <c r="J48" s="6"/>
      <c r="K48" s="6"/>
      <c r="L48" s="6"/>
      <c r="M48" s="6"/>
      <c r="N48" s="6"/>
      <c r="O48" s="6"/>
      <c r="P48" s="6"/>
      <c r="Q48" s="6"/>
      <c r="R48" s="6"/>
      <c r="S48" s="6"/>
      <c r="T48" s="6"/>
      <c r="U48" s="6"/>
      <c r="V48" s="6"/>
      <c r="W48" s="6"/>
      <c r="X48" s="6"/>
      <c r="Y48" s="6"/>
      <c r="Z48" s="6"/>
      <c r="AA48" s="6"/>
      <c r="AB48" s="6"/>
    </row>
    <row r="49" spans="2:28" ht="15.75" customHeight="1">
      <c r="B49" s="6"/>
      <c r="C49" s="6"/>
      <c r="D49" s="6"/>
      <c r="E49" s="6"/>
      <c r="F49" s="6"/>
      <c r="G49" s="6"/>
      <c r="H49" s="6"/>
      <c r="I49" s="6"/>
      <c r="J49" s="6"/>
      <c r="K49" s="6"/>
      <c r="L49" s="6"/>
      <c r="M49" s="6"/>
      <c r="N49" s="6"/>
      <c r="O49" s="6"/>
      <c r="P49" s="6"/>
      <c r="Q49" s="6"/>
      <c r="R49" s="6"/>
      <c r="S49" s="6"/>
      <c r="T49" s="6"/>
      <c r="U49" s="6"/>
      <c r="V49" s="6"/>
      <c r="W49" s="6"/>
      <c r="X49" s="6"/>
      <c r="Y49" s="6"/>
      <c r="Z49" s="6"/>
      <c r="AA49" s="6"/>
      <c r="AB49" s="6"/>
    </row>
    <row r="50" spans="2:28" ht="15.75" customHeight="1">
      <c r="B50" s="6"/>
      <c r="C50" s="6"/>
      <c r="D50" s="6"/>
      <c r="E50" s="6"/>
      <c r="F50" s="6"/>
      <c r="G50" s="6"/>
      <c r="H50" s="6"/>
      <c r="I50" s="6"/>
      <c r="J50" s="6"/>
      <c r="K50" s="6"/>
      <c r="L50" s="6"/>
      <c r="M50" s="6"/>
      <c r="N50" s="6"/>
      <c r="O50" s="6"/>
      <c r="P50" s="6"/>
      <c r="Q50" s="6"/>
      <c r="R50" s="6"/>
      <c r="S50" s="6"/>
      <c r="T50" s="6"/>
      <c r="U50" s="6"/>
      <c r="V50" s="6"/>
      <c r="W50" s="6"/>
      <c r="X50" s="6"/>
      <c r="Y50" s="6"/>
      <c r="Z50" s="6"/>
      <c r="AA50" s="6"/>
      <c r="AB50" s="6"/>
    </row>
    <row r="51" spans="2:28" ht="15.75" customHeight="1">
      <c r="B51" s="6"/>
      <c r="C51" s="6"/>
      <c r="D51" s="6"/>
      <c r="E51" s="6"/>
      <c r="F51" s="6"/>
      <c r="G51" s="6"/>
      <c r="H51" s="6"/>
      <c r="I51" s="6"/>
      <c r="J51" s="6"/>
      <c r="K51" s="6"/>
      <c r="L51" s="6"/>
      <c r="M51" s="6"/>
      <c r="N51" s="6"/>
      <c r="O51" s="6"/>
      <c r="P51" s="6"/>
      <c r="Q51" s="6"/>
      <c r="R51" s="6"/>
      <c r="S51" s="6"/>
      <c r="T51" s="6"/>
      <c r="U51" s="6"/>
      <c r="V51" s="6"/>
      <c r="W51" s="6"/>
      <c r="X51" s="6"/>
      <c r="Y51" s="6"/>
      <c r="Z51" s="6"/>
      <c r="AA51" s="6"/>
      <c r="AB51" s="6"/>
    </row>
    <row r="52" spans="2:28" ht="15.75" customHeight="1">
      <c r="B52" s="6"/>
      <c r="C52" s="6"/>
      <c r="D52" s="6"/>
      <c r="E52" s="6"/>
      <c r="F52" s="6"/>
      <c r="G52" s="6"/>
      <c r="H52" s="6"/>
      <c r="I52" s="6"/>
      <c r="J52" s="6"/>
      <c r="K52" s="6"/>
      <c r="L52" s="6"/>
      <c r="M52" s="6"/>
      <c r="N52" s="6"/>
      <c r="O52" s="6"/>
      <c r="P52" s="6"/>
      <c r="Q52" s="6"/>
      <c r="R52" s="6"/>
      <c r="S52" s="6"/>
      <c r="T52" s="6"/>
      <c r="U52" s="6"/>
      <c r="V52" s="6"/>
      <c r="W52" s="6"/>
      <c r="X52" s="6"/>
      <c r="Y52" s="6"/>
      <c r="Z52" s="6"/>
      <c r="AA52" s="6"/>
      <c r="AB52" s="6"/>
    </row>
    <row r="53" spans="2:28" ht="15.75" customHeight="1">
      <c r="B53" s="6"/>
      <c r="C53" s="6"/>
      <c r="D53" s="6"/>
      <c r="E53" s="6"/>
      <c r="F53" s="6"/>
      <c r="G53" s="6"/>
      <c r="H53" s="6"/>
      <c r="I53" s="6"/>
      <c r="J53" s="6"/>
      <c r="K53" s="6"/>
      <c r="L53" s="6"/>
      <c r="M53" s="6"/>
      <c r="N53" s="6"/>
      <c r="O53" s="6"/>
      <c r="P53" s="6"/>
      <c r="Q53" s="6"/>
      <c r="R53" s="6"/>
      <c r="S53" s="6"/>
      <c r="T53" s="6"/>
      <c r="U53" s="6"/>
      <c r="V53" s="6"/>
      <c r="W53" s="6"/>
      <c r="X53" s="6"/>
      <c r="Y53" s="6"/>
      <c r="Z53" s="6"/>
      <c r="AA53" s="6"/>
      <c r="AB53" s="6"/>
    </row>
    <row r="54" spans="2:28" ht="15.75" customHeight="1">
      <c r="B54" s="6"/>
      <c r="C54" s="6"/>
      <c r="D54" s="6"/>
      <c r="E54" s="6"/>
      <c r="F54" s="6"/>
      <c r="G54" s="6"/>
      <c r="H54" s="6"/>
      <c r="I54" s="6"/>
      <c r="J54" s="6"/>
      <c r="K54" s="6"/>
      <c r="L54" s="6"/>
      <c r="M54" s="6"/>
      <c r="N54" s="6"/>
      <c r="O54" s="6"/>
      <c r="P54" s="6"/>
      <c r="Q54" s="6"/>
      <c r="R54" s="6"/>
      <c r="S54" s="6"/>
      <c r="T54" s="6"/>
      <c r="U54" s="6"/>
      <c r="V54" s="6"/>
      <c r="W54" s="6"/>
      <c r="X54" s="6"/>
      <c r="Y54" s="6"/>
      <c r="Z54" s="6"/>
      <c r="AA54" s="6"/>
      <c r="AB54" s="6"/>
    </row>
    <row r="55" spans="2:28" ht="15.75" customHeight="1">
      <c r="B55" s="6"/>
      <c r="C55" s="6"/>
      <c r="D55" s="6"/>
      <c r="E55" s="6"/>
      <c r="F55" s="6"/>
      <c r="G55" s="6"/>
      <c r="H55" s="6"/>
      <c r="I55" s="6"/>
      <c r="J55" s="6"/>
      <c r="K55" s="6"/>
      <c r="L55" s="6"/>
      <c r="M55" s="6"/>
      <c r="N55" s="6"/>
      <c r="O55" s="6"/>
      <c r="P55" s="6"/>
      <c r="Q55" s="6"/>
      <c r="R55" s="6"/>
      <c r="S55" s="6"/>
      <c r="T55" s="6"/>
      <c r="U55" s="6"/>
      <c r="V55" s="6"/>
      <c r="W55" s="6"/>
      <c r="X55" s="6"/>
      <c r="Y55" s="6"/>
      <c r="Z55" s="6"/>
      <c r="AA55" s="6"/>
      <c r="AB55" s="6"/>
    </row>
    <row r="56" spans="2:28" ht="15.75" customHeight="1">
      <c r="B56" s="6"/>
      <c r="C56" s="6"/>
      <c r="D56" s="6"/>
      <c r="E56" s="6"/>
      <c r="F56" s="6"/>
      <c r="G56" s="6"/>
      <c r="H56" s="6"/>
      <c r="I56" s="6"/>
      <c r="J56" s="6"/>
      <c r="K56" s="6"/>
      <c r="L56" s="6"/>
      <c r="M56" s="6"/>
      <c r="N56" s="6"/>
      <c r="O56" s="6"/>
      <c r="P56" s="6"/>
      <c r="Q56" s="6"/>
      <c r="R56" s="6"/>
      <c r="S56" s="6"/>
      <c r="T56" s="6"/>
      <c r="U56" s="6"/>
      <c r="V56" s="6"/>
      <c r="W56" s="6"/>
      <c r="X56" s="6"/>
      <c r="Y56" s="6"/>
      <c r="Z56" s="6"/>
      <c r="AA56" s="6"/>
      <c r="AB56" s="6"/>
    </row>
    <row r="57" spans="2:28" ht="15.75" customHeight="1">
      <c r="B57" s="6"/>
      <c r="C57" s="6"/>
      <c r="D57" s="6"/>
      <c r="E57" s="6"/>
      <c r="F57" s="6"/>
      <c r="G57" s="6"/>
      <c r="H57" s="6"/>
      <c r="I57" s="6"/>
      <c r="J57" s="6"/>
      <c r="K57" s="6"/>
      <c r="L57" s="6"/>
      <c r="M57" s="6"/>
      <c r="N57" s="6"/>
      <c r="O57" s="6"/>
      <c r="P57" s="6"/>
      <c r="Q57" s="6"/>
      <c r="R57" s="6"/>
      <c r="S57" s="6"/>
      <c r="T57" s="6"/>
      <c r="U57" s="6"/>
      <c r="V57" s="6"/>
      <c r="W57" s="6"/>
      <c r="X57" s="6"/>
      <c r="Y57" s="6"/>
      <c r="Z57" s="6"/>
      <c r="AA57" s="6"/>
      <c r="AB57" s="6"/>
    </row>
    <row r="58" spans="2:28" ht="15.75" customHeight="1">
      <c r="B58" s="6"/>
      <c r="C58" s="6"/>
      <c r="D58" s="6"/>
      <c r="E58" s="6"/>
      <c r="F58" s="6"/>
      <c r="G58" s="6"/>
      <c r="H58" s="6"/>
      <c r="I58" s="6"/>
      <c r="J58" s="6"/>
      <c r="K58" s="6"/>
      <c r="L58" s="6"/>
      <c r="M58" s="6"/>
      <c r="N58" s="6"/>
      <c r="O58" s="6"/>
      <c r="P58" s="6"/>
      <c r="Q58" s="6"/>
      <c r="R58" s="6"/>
      <c r="S58" s="6"/>
      <c r="T58" s="6"/>
      <c r="U58" s="6"/>
      <c r="V58" s="6"/>
      <c r="W58" s="6"/>
      <c r="X58" s="6"/>
      <c r="Y58" s="6"/>
      <c r="Z58" s="6"/>
      <c r="AA58" s="6"/>
      <c r="AB58" s="6"/>
    </row>
    <row r="59" spans="2:28" ht="15.75" customHeight="1">
      <c r="B59" s="6"/>
      <c r="C59" s="6"/>
      <c r="D59" s="6"/>
      <c r="E59" s="6"/>
      <c r="F59" s="6"/>
      <c r="G59" s="6"/>
      <c r="H59" s="6"/>
      <c r="I59" s="6"/>
      <c r="J59" s="6"/>
      <c r="K59" s="6"/>
      <c r="L59" s="6"/>
      <c r="M59" s="6"/>
      <c r="N59" s="6"/>
      <c r="O59" s="6"/>
      <c r="P59" s="6"/>
      <c r="Q59" s="6"/>
      <c r="R59" s="6"/>
      <c r="S59" s="6"/>
      <c r="T59" s="6"/>
      <c r="U59" s="6"/>
      <c r="V59" s="6"/>
      <c r="W59" s="6"/>
      <c r="X59" s="6"/>
      <c r="Y59" s="6"/>
      <c r="Z59" s="6"/>
      <c r="AA59" s="6"/>
      <c r="AB59" s="6"/>
    </row>
    <row r="60" spans="2:28" ht="15.75" customHeight="1">
      <c r="B60" s="6"/>
      <c r="C60" s="6"/>
      <c r="D60" s="6"/>
      <c r="E60" s="6"/>
      <c r="F60" s="6"/>
      <c r="G60" s="6"/>
      <c r="H60" s="6"/>
      <c r="I60" s="6"/>
      <c r="J60" s="6"/>
      <c r="K60" s="6"/>
      <c r="L60" s="6"/>
      <c r="M60" s="6"/>
      <c r="N60" s="6"/>
      <c r="O60" s="6"/>
      <c r="P60" s="6"/>
      <c r="Q60" s="6"/>
      <c r="R60" s="6"/>
      <c r="S60" s="6"/>
      <c r="T60" s="6"/>
      <c r="U60" s="6"/>
      <c r="V60" s="6"/>
      <c r="W60" s="6"/>
      <c r="X60" s="6"/>
      <c r="Y60" s="6"/>
      <c r="Z60" s="6"/>
      <c r="AA60" s="6"/>
      <c r="AB60" s="6"/>
    </row>
    <row r="61" spans="2:28" ht="15.75" customHeight="1">
      <c r="B61" s="6"/>
      <c r="C61" s="6"/>
      <c r="D61" s="6"/>
      <c r="E61" s="6"/>
      <c r="F61" s="6"/>
      <c r="G61" s="6"/>
      <c r="H61" s="6"/>
      <c r="I61" s="6"/>
      <c r="J61" s="6"/>
      <c r="K61" s="6"/>
      <c r="L61" s="6"/>
      <c r="M61" s="6"/>
      <c r="N61" s="6"/>
      <c r="O61" s="6"/>
      <c r="P61" s="6"/>
      <c r="Q61" s="6"/>
      <c r="R61" s="6"/>
      <c r="S61" s="6"/>
      <c r="T61" s="6"/>
      <c r="U61" s="6"/>
      <c r="V61" s="6"/>
      <c r="W61" s="6"/>
      <c r="X61" s="6"/>
      <c r="Y61" s="6"/>
      <c r="Z61" s="6"/>
      <c r="AA61" s="6"/>
      <c r="AB61" s="6"/>
    </row>
    <row r="62" spans="2:28" ht="15.75" customHeight="1">
      <c r="B62" s="6"/>
      <c r="C62" s="6"/>
      <c r="D62" s="6"/>
      <c r="E62" s="6"/>
      <c r="F62" s="6"/>
      <c r="G62" s="6"/>
      <c r="H62" s="6"/>
      <c r="I62" s="6"/>
      <c r="J62" s="6"/>
      <c r="K62" s="6"/>
      <c r="L62" s="6"/>
      <c r="M62" s="6"/>
      <c r="N62" s="6"/>
      <c r="O62" s="6"/>
      <c r="P62" s="6"/>
      <c r="Q62" s="6"/>
      <c r="R62" s="6"/>
      <c r="S62" s="6"/>
      <c r="T62" s="6"/>
      <c r="U62" s="6"/>
      <c r="V62" s="6"/>
      <c r="W62" s="6"/>
      <c r="X62" s="6"/>
      <c r="Y62" s="6"/>
      <c r="Z62" s="6"/>
      <c r="AA62" s="6"/>
      <c r="AB62" s="6"/>
    </row>
    <row r="63" spans="2:28" ht="15.75" customHeight="1">
      <c r="B63" s="6"/>
      <c r="C63" s="6"/>
      <c r="D63" s="6"/>
      <c r="E63" s="6"/>
      <c r="F63" s="6"/>
      <c r="G63" s="6"/>
      <c r="H63" s="6"/>
      <c r="I63" s="6"/>
      <c r="J63" s="6"/>
      <c r="K63" s="6"/>
      <c r="L63" s="6"/>
      <c r="M63" s="6"/>
      <c r="N63" s="6"/>
      <c r="O63" s="6"/>
      <c r="P63" s="6"/>
      <c r="Q63" s="6"/>
      <c r="R63" s="6"/>
      <c r="S63" s="6"/>
      <c r="T63" s="6"/>
      <c r="U63" s="6"/>
      <c r="V63" s="6"/>
      <c r="W63" s="6"/>
      <c r="X63" s="6"/>
      <c r="Y63" s="6"/>
      <c r="Z63" s="6"/>
      <c r="AA63" s="6"/>
      <c r="AB63" s="6"/>
    </row>
    <row r="64" spans="2:28" ht="15.75" customHeight="1">
      <c r="B64" s="6"/>
      <c r="C64" s="6"/>
      <c r="D64" s="6"/>
      <c r="E64" s="6"/>
      <c r="F64" s="6"/>
      <c r="G64" s="6"/>
      <c r="H64" s="6"/>
      <c r="I64" s="6"/>
      <c r="J64" s="6"/>
      <c r="K64" s="6"/>
      <c r="L64" s="6"/>
      <c r="M64" s="6"/>
      <c r="N64" s="6"/>
      <c r="O64" s="6"/>
      <c r="P64" s="6"/>
      <c r="Q64" s="6"/>
      <c r="R64" s="6"/>
      <c r="S64" s="6"/>
      <c r="T64" s="6"/>
      <c r="U64" s="6"/>
      <c r="V64" s="6"/>
      <c r="W64" s="6"/>
      <c r="X64" s="6"/>
      <c r="Y64" s="6"/>
      <c r="Z64" s="6"/>
      <c r="AA64" s="6"/>
      <c r="AB64" s="6"/>
    </row>
    <row r="65" spans="2:28" ht="15.75" customHeight="1">
      <c r="B65" s="6"/>
      <c r="C65" s="6"/>
      <c r="D65" s="6"/>
      <c r="E65" s="6"/>
      <c r="F65" s="6"/>
      <c r="G65" s="6"/>
      <c r="H65" s="6"/>
      <c r="I65" s="6"/>
      <c r="J65" s="6"/>
      <c r="K65" s="6"/>
      <c r="L65" s="6"/>
      <c r="M65" s="6"/>
      <c r="N65" s="6"/>
      <c r="O65" s="6"/>
      <c r="P65" s="6"/>
      <c r="Q65" s="6"/>
      <c r="R65" s="6"/>
      <c r="S65" s="6"/>
      <c r="T65" s="6"/>
      <c r="U65" s="6"/>
      <c r="V65" s="6"/>
      <c r="W65" s="6"/>
      <c r="X65" s="6"/>
      <c r="Y65" s="6"/>
      <c r="Z65" s="6"/>
      <c r="AA65" s="6"/>
      <c r="AB65" s="6"/>
    </row>
    <row r="66" spans="2:28" ht="15.75" customHeight="1">
      <c r="B66" s="6"/>
      <c r="C66" s="6"/>
      <c r="D66" s="6"/>
      <c r="E66" s="6"/>
      <c r="F66" s="6"/>
      <c r="G66" s="6"/>
      <c r="H66" s="6"/>
      <c r="I66" s="6"/>
      <c r="J66" s="6"/>
      <c r="K66" s="6"/>
      <c r="L66" s="6"/>
      <c r="M66" s="6"/>
      <c r="N66" s="6"/>
      <c r="O66" s="6"/>
      <c r="P66" s="6"/>
      <c r="Q66" s="6"/>
      <c r="R66" s="6"/>
      <c r="S66" s="6"/>
      <c r="T66" s="6"/>
      <c r="U66" s="6"/>
      <c r="V66" s="6"/>
      <c r="W66" s="6"/>
      <c r="X66" s="6"/>
      <c r="Y66" s="6"/>
      <c r="Z66" s="6"/>
      <c r="AA66" s="6"/>
      <c r="AB66" s="6"/>
    </row>
    <row r="67" spans="2:28" ht="15.75" customHeight="1">
      <c r="B67" s="6"/>
      <c r="C67" s="6"/>
      <c r="D67" s="6"/>
      <c r="E67" s="6"/>
      <c r="F67" s="6"/>
      <c r="G67" s="6"/>
      <c r="H67" s="6"/>
      <c r="I67" s="6"/>
      <c r="J67" s="6"/>
      <c r="K67" s="6"/>
      <c r="L67" s="6"/>
      <c r="M67" s="6"/>
      <c r="N67" s="6"/>
      <c r="O67" s="6"/>
      <c r="P67" s="6"/>
      <c r="Q67" s="6"/>
      <c r="R67" s="6"/>
      <c r="S67" s="6"/>
      <c r="T67" s="6"/>
      <c r="U67" s="6"/>
      <c r="V67" s="6"/>
      <c r="W67" s="6"/>
      <c r="X67" s="6"/>
      <c r="Y67" s="6"/>
      <c r="Z67" s="6"/>
      <c r="AA67" s="6"/>
      <c r="AB67" s="6"/>
    </row>
    <row r="68" spans="2:28" ht="15.75" customHeight="1">
      <c r="B68" s="6"/>
      <c r="C68" s="6"/>
      <c r="D68" s="6"/>
      <c r="E68" s="6"/>
      <c r="F68" s="6"/>
      <c r="G68" s="6"/>
      <c r="H68" s="6"/>
      <c r="I68" s="6"/>
      <c r="J68" s="6"/>
      <c r="K68" s="6"/>
      <c r="L68" s="6"/>
      <c r="M68" s="6"/>
      <c r="N68" s="6"/>
      <c r="O68" s="6"/>
      <c r="P68" s="6"/>
      <c r="Q68" s="6"/>
      <c r="R68" s="6"/>
      <c r="S68" s="6"/>
      <c r="T68" s="6"/>
      <c r="U68" s="6"/>
      <c r="V68" s="6"/>
      <c r="W68" s="6"/>
      <c r="X68" s="6"/>
      <c r="Y68" s="6"/>
      <c r="Z68" s="6"/>
      <c r="AA68" s="6"/>
      <c r="AB68" s="6"/>
    </row>
    <row r="69" spans="2:28" ht="15.75" customHeight="1">
      <c r="B69" s="6"/>
      <c r="C69" s="6"/>
      <c r="D69" s="6"/>
      <c r="E69" s="6"/>
      <c r="F69" s="6"/>
      <c r="G69" s="6"/>
      <c r="H69" s="6"/>
      <c r="I69" s="6"/>
      <c r="J69" s="6"/>
      <c r="K69" s="6"/>
      <c r="L69" s="6"/>
      <c r="M69" s="6"/>
      <c r="N69" s="6"/>
      <c r="O69" s="6"/>
      <c r="P69" s="6"/>
      <c r="Q69" s="6"/>
      <c r="R69" s="6"/>
      <c r="S69" s="6"/>
      <c r="T69" s="6"/>
      <c r="U69" s="6"/>
      <c r="V69" s="6"/>
      <c r="W69" s="6"/>
      <c r="X69" s="6"/>
      <c r="Y69" s="6"/>
      <c r="Z69" s="6"/>
      <c r="AA69" s="6"/>
      <c r="AB69" s="6"/>
    </row>
    <row r="70" spans="2:28" ht="15.75" customHeight="1">
      <c r="B70" s="6"/>
      <c r="C70" s="6"/>
      <c r="D70" s="6"/>
      <c r="E70" s="6"/>
      <c r="F70" s="6"/>
      <c r="G70" s="6"/>
      <c r="H70" s="6"/>
      <c r="I70" s="6"/>
      <c r="J70" s="6"/>
      <c r="K70" s="6"/>
      <c r="L70" s="6"/>
      <c r="M70" s="6"/>
      <c r="N70" s="6"/>
      <c r="O70" s="6"/>
      <c r="P70" s="6"/>
      <c r="Q70" s="6"/>
      <c r="R70" s="6"/>
      <c r="S70" s="6"/>
      <c r="T70" s="6"/>
      <c r="U70" s="6"/>
      <c r="V70" s="6"/>
      <c r="W70" s="6"/>
      <c r="X70" s="6"/>
      <c r="Y70" s="6"/>
      <c r="Z70" s="6"/>
      <c r="AA70" s="6"/>
      <c r="AB70" s="6"/>
    </row>
    <row r="71" spans="2:28" ht="15.75" customHeight="1">
      <c r="B71" s="6"/>
      <c r="C71" s="6"/>
      <c r="D71" s="6"/>
      <c r="E71" s="6"/>
      <c r="F71" s="6"/>
      <c r="G71" s="6"/>
      <c r="H71" s="6"/>
      <c r="I71" s="6"/>
      <c r="J71" s="6"/>
      <c r="K71" s="6"/>
      <c r="L71" s="6"/>
      <c r="M71" s="6"/>
      <c r="N71" s="6"/>
      <c r="O71" s="6"/>
      <c r="P71" s="6"/>
      <c r="Q71" s="6"/>
      <c r="R71" s="6"/>
      <c r="S71" s="6"/>
      <c r="T71" s="6"/>
      <c r="U71" s="6"/>
      <c r="V71" s="6"/>
      <c r="W71" s="6"/>
      <c r="X71" s="6"/>
      <c r="Y71" s="6"/>
      <c r="Z71" s="6"/>
      <c r="AA71" s="6"/>
      <c r="AB71" s="6"/>
    </row>
    <row r="72" spans="2:28" ht="15.75" customHeight="1">
      <c r="B72" s="6"/>
      <c r="C72" s="6"/>
      <c r="D72" s="6"/>
      <c r="E72" s="6"/>
      <c r="F72" s="6"/>
      <c r="G72" s="6"/>
      <c r="H72" s="6"/>
      <c r="I72" s="6"/>
      <c r="J72" s="6"/>
      <c r="K72" s="6"/>
      <c r="L72" s="6"/>
      <c r="M72" s="6"/>
      <c r="N72" s="6"/>
      <c r="O72" s="6"/>
      <c r="P72" s="6"/>
      <c r="Q72" s="6"/>
      <c r="R72" s="6"/>
      <c r="S72" s="6"/>
      <c r="T72" s="6"/>
      <c r="U72" s="6"/>
      <c r="V72" s="6"/>
      <c r="W72" s="6"/>
      <c r="X72" s="6"/>
      <c r="Y72" s="6"/>
      <c r="Z72" s="6"/>
      <c r="AA72" s="6"/>
      <c r="AB72" s="6"/>
    </row>
    <row r="73" spans="2:28" ht="15.75" customHeight="1">
      <c r="B73" s="6"/>
      <c r="C73" s="6"/>
      <c r="D73" s="6"/>
      <c r="E73" s="6"/>
      <c r="F73" s="6"/>
      <c r="G73" s="6"/>
      <c r="H73" s="6"/>
      <c r="I73" s="6"/>
      <c r="J73" s="6"/>
      <c r="K73" s="6"/>
      <c r="L73" s="6"/>
      <c r="M73" s="6"/>
      <c r="N73" s="6"/>
      <c r="O73" s="6"/>
      <c r="P73" s="6"/>
      <c r="Q73" s="6"/>
      <c r="R73" s="6"/>
      <c r="S73" s="6"/>
      <c r="T73" s="6"/>
      <c r="U73" s="6"/>
      <c r="V73" s="6"/>
      <c r="W73" s="6"/>
      <c r="X73" s="6"/>
      <c r="Y73" s="6"/>
      <c r="Z73" s="6"/>
      <c r="AA73" s="6"/>
      <c r="AB73" s="6"/>
    </row>
    <row r="74" spans="2:28" ht="15.75" customHeight="1">
      <c r="B74" s="6"/>
      <c r="C74" s="6"/>
      <c r="D74" s="6"/>
      <c r="E74" s="6"/>
      <c r="F74" s="6"/>
      <c r="G74" s="6"/>
      <c r="H74" s="6"/>
      <c r="I74" s="6"/>
      <c r="J74" s="6"/>
      <c r="K74" s="6"/>
      <c r="L74" s="6"/>
      <c r="M74" s="6"/>
      <c r="N74" s="6"/>
      <c r="O74" s="6"/>
      <c r="P74" s="6"/>
      <c r="Q74" s="6"/>
      <c r="R74" s="6"/>
      <c r="S74" s="6"/>
      <c r="T74" s="6"/>
      <c r="U74" s="6"/>
      <c r="V74" s="6"/>
      <c r="W74" s="6"/>
      <c r="X74" s="6"/>
      <c r="Y74" s="6"/>
      <c r="Z74" s="6"/>
      <c r="AA74" s="6"/>
      <c r="AB74" s="6"/>
    </row>
    <row r="75" spans="2:28" ht="15.75" customHeight="1">
      <c r="B75" s="6"/>
      <c r="C75" s="6"/>
      <c r="D75" s="6"/>
      <c r="E75" s="6"/>
      <c r="F75" s="6"/>
      <c r="G75" s="6"/>
      <c r="H75" s="6"/>
      <c r="I75" s="6"/>
      <c r="J75" s="6"/>
      <c r="K75" s="6"/>
      <c r="L75" s="6"/>
      <c r="M75" s="6"/>
      <c r="N75" s="6"/>
      <c r="O75" s="6"/>
      <c r="P75" s="6"/>
      <c r="Q75" s="6"/>
      <c r="R75" s="6"/>
      <c r="S75" s="6"/>
      <c r="T75" s="6"/>
      <c r="U75" s="6"/>
      <c r="V75" s="6"/>
      <c r="W75" s="6"/>
      <c r="X75" s="6"/>
      <c r="Y75" s="6"/>
      <c r="Z75" s="6"/>
      <c r="AA75" s="6"/>
      <c r="AB75" s="6"/>
    </row>
    <row r="76" spans="2:28" ht="15.75" customHeight="1">
      <c r="B76" s="6"/>
      <c r="C76" s="6"/>
      <c r="D76" s="6"/>
      <c r="E76" s="6"/>
      <c r="F76" s="6"/>
      <c r="G76" s="6"/>
      <c r="H76" s="6"/>
      <c r="I76" s="6"/>
      <c r="J76" s="6"/>
      <c r="K76" s="6"/>
      <c r="L76" s="6"/>
      <c r="M76" s="6"/>
      <c r="N76" s="6"/>
      <c r="O76" s="6"/>
      <c r="P76" s="6"/>
      <c r="Q76" s="6"/>
      <c r="R76" s="6"/>
      <c r="S76" s="6"/>
      <c r="T76" s="6"/>
      <c r="U76" s="6"/>
      <c r="V76" s="6"/>
      <c r="W76" s="6"/>
      <c r="X76" s="6"/>
      <c r="Y76" s="6"/>
      <c r="Z76" s="6"/>
      <c r="AA76" s="6"/>
      <c r="AB76" s="6"/>
    </row>
    <row r="77" spans="2:28" ht="15.75" customHeight="1">
      <c r="B77" s="6"/>
      <c r="C77" s="6"/>
      <c r="D77" s="6"/>
      <c r="E77" s="6"/>
      <c r="F77" s="6"/>
      <c r="G77" s="6"/>
      <c r="H77" s="6"/>
      <c r="I77" s="6"/>
      <c r="J77" s="6"/>
      <c r="K77" s="6"/>
      <c r="L77" s="6"/>
      <c r="M77" s="6"/>
      <c r="N77" s="6"/>
      <c r="O77" s="6"/>
      <c r="P77" s="6"/>
      <c r="Q77" s="6"/>
      <c r="R77" s="6"/>
      <c r="S77" s="6"/>
      <c r="T77" s="6"/>
      <c r="U77" s="6"/>
      <c r="V77" s="6"/>
      <c r="W77" s="6"/>
      <c r="X77" s="6"/>
      <c r="Y77" s="6"/>
      <c r="Z77" s="6"/>
      <c r="AA77" s="6"/>
      <c r="AB77" s="6"/>
    </row>
    <row r="78" spans="2:28" ht="15.75" customHeight="1">
      <c r="B78" s="6"/>
      <c r="C78" s="6"/>
      <c r="D78" s="6"/>
      <c r="E78" s="6"/>
      <c r="F78" s="6"/>
      <c r="G78" s="6"/>
      <c r="H78" s="6"/>
      <c r="I78" s="6"/>
      <c r="J78" s="6"/>
      <c r="K78" s="6"/>
      <c r="L78" s="6"/>
      <c r="M78" s="6"/>
      <c r="N78" s="6"/>
      <c r="O78" s="6"/>
      <c r="P78" s="6"/>
      <c r="Q78" s="6"/>
      <c r="R78" s="6"/>
      <c r="S78" s="6"/>
      <c r="T78" s="6"/>
      <c r="U78" s="6"/>
      <c r="V78" s="6"/>
      <c r="W78" s="6"/>
      <c r="X78" s="6"/>
      <c r="Y78" s="6"/>
      <c r="Z78" s="6"/>
      <c r="AA78" s="6"/>
      <c r="AB78" s="6"/>
    </row>
    <row r="79" spans="2:28" ht="15.75" customHeight="1">
      <c r="B79" s="6"/>
      <c r="C79" s="6"/>
      <c r="D79" s="6"/>
      <c r="E79" s="6"/>
      <c r="F79" s="6"/>
      <c r="G79" s="6"/>
      <c r="H79" s="6"/>
      <c r="I79" s="6"/>
      <c r="J79" s="6"/>
      <c r="K79" s="6"/>
      <c r="L79" s="6"/>
      <c r="M79" s="6"/>
      <c r="N79" s="6"/>
      <c r="O79" s="6"/>
      <c r="P79" s="6"/>
      <c r="Q79" s="6"/>
      <c r="R79" s="6"/>
      <c r="S79" s="6"/>
      <c r="T79" s="6"/>
      <c r="U79" s="6"/>
      <c r="V79" s="6"/>
      <c r="W79" s="6"/>
      <c r="X79" s="6"/>
      <c r="Y79" s="6"/>
      <c r="Z79" s="6"/>
      <c r="AA79" s="6"/>
      <c r="AB79" s="6"/>
    </row>
    <row r="80" spans="2:28" ht="15.75" customHeight="1">
      <c r="B80" s="6"/>
      <c r="C80" s="6"/>
      <c r="D80" s="6"/>
      <c r="E80" s="6"/>
      <c r="F80" s="6"/>
      <c r="G80" s="6"/>
      <c r="H80" s="6"/>
      <c r="I80" s="6"/>
      <c r="J80" s="6"/>
      <c r="K80" s="6"/>
      <c r="L80" s="6"/>
      <c r="M80" s="6"/>
      <c r="N80" s="6"/>
      <c r="O80" s="6"/>
      <c r="P80" s="6"/>
      <c r="Q80" s="6"/>
      <c r="R80" s="6"/>
      <c r="S80" s="6"/>
      <c r="T80" s="6"/>
      <c r="U80" s="6"/>
      <c r="V80" s="6"/>
      <c r="W80" s="6"/>
      <c r="X80" s="6"/>
      <c r="Y80" s="6"/>
      <c r="Z80" s="6"/>
      <c r="AA80" s="6"/>
      <c r="AB80" s="6"/>
    </row>
    <row r="81" spans="2:28" ht="15.75" customHeight="1">
      <c r="B81" s="6"/>
      <c r="C81" s="6"/>
      <c r="D81" s="6"/>
      <c r="E81" s="6"/>
      <c r="F81" s="6"/>
      <c r="G81" s="6"/>
      <c r="H81" s="6"/>
      <c r="I81" s="6"/>
      <c r="J81" s="6"/>
      <c r="K81" s="6"/>
      <c r="L81" s="6"/>
      <c r="M81" s="6"/>
      <c r="N81" s="6"/>
      <c r="O81" s="6"/>
      <c r="P81" s="6"/>
      <c r="Q81" s="6"/>
      <c r="R81" s="6"/>
      <c r="S81" s="6"/>
      <c r="T81" s="6"/>
      <c r="U81" s="6"/>
      <c r="V81" s="6"/>
      <c r="W81" s="6"/>
      <c r="X81" s="6"/>
      <c r="Y81" s="6"/>
      <c r="Z81" s="6"/>
      <c r="AA81" s="6"/>
      <c r="AB81" s="6"/>
    </row>
    <row r="82" spans="2:28" ht="15.75" customHeight="1">
      <c r="B82" s="6"/>
      <c r="C82" s="6"/>
      <c r="D82" s="6"/>
      <c r="E82" s="6"/>
      <c r="F82" s="6"/>
      <c r="G82" s="6"/>
      <c r="H82" s="6"/>
      <c r="I82" s="6"/>
      <c r="J82" s="6"/>
      <c r="K82" s="6"/>
      <c r="L82" s="6"/>
      <c r="M82" s="6"/>
      <c r="N82" s="6"/>
      <c r="O82" s="6"/>
      <c r="P82" s="6"/>
      <c r="Q82" s="6"/>
      <c r="R82" s="6"/>
      <c r="S82" s="6"/>
      <c r="T82" s="6"/>
      <c r="U82" s="6"/>
      <c r="V82" s="6"/>
      <c r="W82" s="6"/>
      <c r="X82" s="6"/>
      <c r="Y82" s="6"/>
      <c r="Z82" s="6"/>
      <c r="AA82" s="6"/>
      <c r="AB82" s="6"/>
    </row>
    <row r="83" spans="2:28" ht="15.75" customHeight="1">
      <c r="B83" s="6"/>
      <c r="C83" s="6"/>
      <c r="D83" s="6"/>
      <c r="E83" s="6"/>
      <c r="F83" s="6"/>
      <c r="G83" s="6"/>
      <c r="H83" s="6"/>
      <c r="I83" s="6"/>
      <c r="J83" s="6"/>
      <c r="K83" s="6"/>
      <c r="L83" s="6"/>
      <c r="M83" s="6"/>
      <c r="N83" s="6"/>
      <c r="O83" s="6"/>
      <c r="P83" s="6"/>
      <c r="Q83" s="6"/>
      <c r="R83" s="6"/>
      <c r="S83" s="6"/>
      <c r="T83" s="6"/>
      <c r="U83" s="6"/>
      <c r="V83" s="6"/>
      <c r="W83" s="6"/>
      <c r="X83" s="6"/>
      <c r="Y83" s="6"/>
      <c r="Z83" s="6"/>
      <c r="AA83" s="6"/>
      <c r="AB83" s="6"/>
    </row>
    <row r="84" spans="2:28" ht="15.75" customHeight="1">
      <c r="B84" s="6"/>
      <c r="C84" s="6"/>
      <c r="D84" s="6"/>
      <c r="E84" s="6"/>
      <c r="F84" s="6"/>
      <c r="G84" s="6"/>
      <c r="H84" s="6"/>
      <c r="I84" s="6"/>
      <c r="J84" s="6"/>
      <c r="K84" s="6"/>
      <c r="L84" s="6"/>
      <c r="M84" s="6"/>
      <c r="N84" s="6"/>
      <c r="O84" s="6"/>
      <c r="P84" s="6"/>
      <c r="Q84" s="6"/>
      <c r="R84" s="6"/>
      <c r="S84" s="6"/>
      <c r="T84" s="6"/>
      <c r="U84" s="6"/>
      <c r="V84" s="6"/>
      <c r="W84" s="6"/>
      <c r="X84" s="6"/>
      <c r="Y84" s="6"/>
      <c r="Z84" s="6"/>
      <c r="AA84" s="6"/>
      <c r="AB84" s="6"/>
    </row>
    <row r="85" spans="2:28" ht="15.75" customHeight="1">
      <c r="B85" s="6"/>
      <c r="C85" s="6"/>
      <c r="D85" s="6"/>
      <c r="E85" s="6"/>
      <c r="F85" s="6"/>
      <c r="G85" s="6"/>
      <c r="H85" s="6"/>
      <c r="I85" s="6"/>
      <c r="J85" s="6"/>
      <c r="K85" s="6"/>
      <c r="L85" s="6"/>
      <c r="M85" s="6"/>
      <c r="N85" s="6"/>
      <c r="O85" s="6"/>
      <c r="P85" s="6"/>
      <c r="Q85" s="6"/>
      <c r="R85" s="6"/>
      <c r="S85" s="6"/>
      <c r="T85" s="6"/>
      <c r="U85" s="6"/>
      <c r="V85" s="6"/>
      <c r="W85" s="6"/>
      <c r="X85" s="6"/>
      <c r="Y85" s="6"/>
      <c r="Z85" s="6"/>
      <c r="AA85" s="6"/>
      <c r="AB85" s="6"/>
    </row>
    <row r="86" spans="2:28" ht="15.75" customHeight="1">
      <c r="B86" s="6"/>
      <c r="C86" s="6"/>
      <c r="D86" s="6"/>
      <c r="E86" s="6"/>
      <c r="F86" s="6"/>
      <c r="G86" s="6"/>
      <c r="H86" s="6"/>
      <c r="I86" s="6"/>
      <c r="J86" s="6"/>
      <c r="K86" s="6"/>
      <c r="L86" s="6"/>
      <c r="M86" s="6"/>
      <c r="N86" s="6"/>
      <c r="O86" s="6"/>
      <c r="P86" s="6"/>
      <c r="Q86" s="6"/>
      <c r="R86" s="6"/>
      <c r="S86" s="6"/>
      <c r="T86" s="6"/>
      <c r="U86" s="6"/>
      <c r="V86" s="6"/>
      <c r="W86" s="6"/>
      <c r="X86" s="6"/>
      <c r="Y86" s="6"/>
      <c r="Z86" s="6"/>
      <c r="AA86" s="6"/>
      <c r="AB86" s="6"/>
    </row>
    <row r="87" spans="2:28" ht="15.75" customHeight="1">
      <c r="B87" s="6"/>
      <c r="C87" s="6"/>
      <c r="D87" s="6"/>
      <c r="E87" s="6"/>
      <c r="F87" s="6"/>
      <c r="G87" s="6"/>
      <c r="H87" s="6"/>
      <c r="I87" s="6"/>
      <c r="J87" s="6"/>
      <c r="K87" s="6"/>
      <c r="L87" s="6"/>
      <c r="M87" s="6"/>
      <c r="N87" s="6"/>
      <c r="O87" s="6"/>
      <c r="P87" s="6"/>
      <c r="Q87" s="6"/>
      <c r="R87" s="6"/>
      <c r="S87" s="6"/>
      <c r="T87" s="6"/>
      <c r="U87" s="6"/>
      <c r="V87" s="6"/>
      <c r="W87" s="6"/>
      <c r="X87" s="6"/>
      <c r="Y87" s="6"/>
      <c r="Z87" s="6"/>
      <c r="AA87" s="6"/>
      <c r="AB87" s="6"/>
    </row>
    <row r="88" spans="2:28" ht="15.75" customHeight="1">
      <c r="B88" s="6"/>
      <c r="C88" s="6"/>
      <c r="D88" s="6"/>
      <c r="E88" s="6"/>
      <c r="F88" s="6"/>
      <c r="G88" s="6"/>
      <c r="H88" s="6"/>
      <c r="I88" s="6"/>
      <c r="J88" s="6"/>
      <c r="K88" s="6"/>
      <c r="L88" s="6"/>
      <c r="M88" s="6"/>
      <c r="N88" s="6"/>
      <c r="O88" s="6"/>
      <c r="P88" s="6"/>
      <c r="Q88" s="6"/>
      <c r="R88" s="6"/>
      <c r="S88" s="6"/>
      <c r="T88" s="6"/>
      <c r="U88" s="6"/>
      <c r="V88" s="6"/>
      <c r="W88" s="6"/>
      <c r="X88" s="6"/>
      <c r="Y88" s="6"/>
      <c r="Z88" s="6"/>
      <c r="AA88" s="6"/>
      <c r="AB88" s="6"/>
    </row>
    <row r="89" spans="2:28" ht="15.75" customHeight="1">
      <c r="B89" s="6"/>
      <c r="C89" s="6"/>
      <c r="D89" s="6"/>
      <c r="E89" s="6"/>
      <c r="F89" s="6"/>
      <c r="G89" s="6"/>
      <c r="H89" s="6"/>
      <c r="I89" s="6"/>
      <c r="J89" s="6"/>
      <c r="K89" s="6"/>
      <c r="L89" s="6"/>
      <c r="M89" s="6"/>
      <c r="N89" s="6"/>
      <c r="O89" s="6"/>
      <c r="P89" s="6"/>
      <c r="Q89" s="6"/>
      <c r="R89" s="6"/>
      <c r="S89" s="6"/>
      <c r="T89" s="6"/>
      <c r="U89" s="6"/>
      <c r="V89" s="6"/>
      <c r="W89" s="6"/>
      <c r="X89" s="6"/>
      <c r="Y89" s="6"/>
      <c r="Z89" s="6"/>
      <c r="AA89" s="6"/>
      <c r="AB89" s="6"/>
    </row>
    <row r="90" spans="2:28" ht="15.75" customHeight="1">
      <c r="B90" s="6"/>
      <c r="C90" s="6"/>
      <c r="D90" s="6"/>
      <c r="E90" s="6"/>
      <c r="F90" s="6"/>
      <c r="G90" s="6"/>
      <c r="H90" s="6"/>
      <c r="I90" s="6"/>
      <c r="J90" s="6"/>
      <c r="K90" s="6"/>
      <c r="L90" s="6"/>
      <c r="M90" s="6"/>
      <c r="N90" s="6"/>
      <c r="O90" s="6"/>
      <c r="P90" s="6"/>
      <c r="Q90" s="6"/>
      <c r="R90" s="6"/>
      <c r="S90" s="6"/>
      <c r="T90" s="6"/>
      <c r="U90" s="6"/>
      <c r="V90" s="6"/>
      <c r="W90" s="6"/>
      <c r="X90" s="6"/>
      <c r="Y90" s="6"/>
      <c r="Z90" s="6"/>
      <c r="AA90" s="6"/>
      <c r="AB90" s="6"/>
    </row>
    <row r="91" spans="2:28" ht="15.75" customHeight="1">
      <c r="B91" s="6"/>
      <c r="C91" s="6"/>
      <c r="D91" s="6"/>
      <c r="E91" s="6"/>
      <c r="F91" s="6"/>
      <c r="G91" s="6"/>
      <c r="H91" s="6"/>
      <c r="I91" s="6"/>
      <c r="J91" s="6"/>
      <c r="K91" s="6"/>
      <c r="L91" s="6"/>
      <c r="M91" s="6"/>
      <c r="N91" s="6"/>
      <c r="O91" s="6"/>
      <c r="P91" s="6"/>
      <c r="Q91" s="6"/>
      <c r="R91" s="6"/>
      <c r="S91" s="6"/>
      <c r="T91" s="6"/>
      <c r="U91" s="6"/>
      <c r="V91" s="6"/>
      <c r="W91" s="6"/>
      <c r="X91" s="6"/>
      <c r="Y91" s="6"/>
      <c r="Z91" s="6"/>
      <c r="AA91" s="6"/>
      <c r="AB91" s="6"/>
    </row>
    <row r="92" spans="2:28" ht="15.75" customHeight="1">
      <c r="B92" s="6"/>
      <c r="C92" s="6"/>
      <c r="D92" s="6"/>
      <c r="E92" s="6"/>
      <c r="F92" s="6"/>
      <c r="G92" s="6"/>
      <c r="H92" s="6"/>
      <c r="I92" s="6"/>
      <c r="J92" s="6"/>
      <c r="K92" s="6"/>
      <c r="L92" s="6"/>
      <c r="M92" s="6"/>
      <c r="N92" s="6"/>
      <c r="O92" s="6"/>
      <c r="P92" s="6"/>
      <c r="Q92" s="6"/>
      <c r="R92" s="6"/>
      <c r="S92" s="6"/>
      <c r="T92" s="6"/>
      <c r="U92" s="6"/>
      <c r="V92" s="6"/>
      <c r="W92" s="6"/>
      <c r="X92" s="6"/>
      <c r="Y92" s="6"/>
      <c r="Z92" s="6"/>
      <c r="AA92" s="6"/>
      <c r="AB92" s="6"/>
    </row>
    <row r="93" spans="2:28" ht="15.75" customHeight="1">
      <c r="B93" s="6"/>
      <c r="C93" s="6"/>
      <c r="D93" s="6"/>
      <c r="E93" s="6"/>
      <c r="F93" s="6"/>
      <c r="G93" s="6"/>
      <c r="H93" s="6"/>
      <c r="I93" s="6"/>
      <c r="J93" s="6"/>
      <c r="K93" s="6"/>
      <c r="L93" s="6"/>
      <c r="M93" s="6"/>
      <c r="N93" s="6"/>
      <c r="O93" s="6"/>
      <c r="P93" s="6"/>
      <c r="Q93" s="6"/>
      <c r="R93" s="6"/>
      <c r="S93" s="6"/>
      <c r="T93" s="6"/>
      <c r="U93" s="6"/>
      <c r="V93" s="6"/>
      <c r="W93" s="6"/>
      <c r="X93" s="6"/>
      <c r="Y93" s="6"/>
      <c r="Z93" s="6"/>
      <c r="AA93" s="6"/>
      <c r="AB93" s="6"/>
    </row>
    <row r="94" spans="2:28" ht="15.75" customHeight="1">
      <c r="B94" s="6"/>
      <c r="C94" s="6"/>
      <c r="D94" s="6"/>
      <c r="E94" s="6"/>
      <c r="F94" s="6"/>
      <c r="G94" s="6"/>
      <c r="H94" s="6"/>
      <c r="I94" s="6"/>
      <c r="J94" s="6"/>
      <c r="K94" s="6"/>
      <c r="L94" s="6"/>
      <c r="M94" s="6"/>
      <c r="N94" s="6"/>
      <c r="O94" s="6"/>
      <c r="P94" s="6"/>
      <c r="Q94" s="6"/>
      <c r="R94" s="6"/>
      <c r="S94" s="6"/>
      <c r="T94" s="6"/>
      <c r="U94" s="6"/>
      <c r="V94" s="6"/>
      <c r="W94" s="6"/>
      <c r="X94" s="6"/>
      <c r="Y94" s="6"/>
      <c r="Z94" s="6"/>
      <c r="AA94" s="6"/>
      <c r="AB94" s="6"/>
    </row>
    <row r="95" spans="2:28" ht="15.75" customHeight="1">
      <c r="B95" s="6"/>
      <c r="C95" s="6"/>
      <c r="D95" s="6"/>
      <c r="E95" s="6"/>
      <c r="F95" s="6"/>
      <c r="G95" s="6"/>
      <c r="H95" s="6"/>
      <c r="I95" s="6"/>
      <c r="J95" s="6"/>
      <c r="K95" s="6"/>
      <c r="L95" s="6"/>
      <c r="M95" s="6"/>
      <c r="N95" s="6"/>
      <c r="O95" s="6"/>
      <c r="P95" s="6"/>
      <c r="Q95" s="6"/>
      <c r="R95" s="6"/>
      <c r="S95" s="6"/>
      <c r="T95" s="6"/>
      <c r="U95" s="6"/>
      <c r="V95" s="6"/>
      <c r="W95" s="6"/>
      <c r="X95" s="6"/>
      <c r="Y95" s="6"/>
      <c r="Z95" s="6"/>
      <c r="AA95" s="6"/>
      <c r="AB95" s="6"/>
    </row>
    <row r="96" spans="2:28" ht="15.75" customHeight="1">
      <c r="B96" s="6"/>
      <c r="C96" s="6"/>
      <c r="D96" s="6"/>
      <c r="E96" s="6"/>
      <c r="F96" s="6"/>
      <c r="G96" s="6"/>
      <c r="H96" s="6"/>
      <c r="I96" s="6"/>
      <c r="J96" s="6"/>
      <c r="K96" s="6"/>
      <c r="L96" s="6"/>
      <c r="M96" s="6"/>
      <c r="N96" s="6"/>
      <c r="O96" s="6"/>
      <c r="P96" s="6"/>
      <c r="Q96" s="6"/>
      <c r="R96" s="6"/>
      <c r="S96" s="6"/>
      <c r="T96" s="6"/>
      <c r="U96" s="6"/>
      <c r="V96" s="6"/>
      <c r="W96" s="6"/>
      <c r="X96" s="6"/>
      <c r="Y96" s="6"/>
      <c r="Z96" s="6"/>
      <c r="AA96" s="6"/>
      <c r="AB96" s="6"/>
    </row>
    <row r="97" spans="2:28" ht="15.75" customHeight="1">
      <c r="B97" s="6"/>
      <c r="C97" s="6"/>
      <c r="D97" s="6"/>
      <c r="E97" s="6"/>
      <c r="F97" s="6"/>
      <c r="G97" s="6"/>
      <c r="H97" s="6"/>
      <c r="I97" s="6"/>
      <c r="J97" s="6"/>
      <c r="K97" s="6"/>
      <c r="L97" s="6"/>
      <c r="M97" s="6"/>
      <c r="N97" s="6"/>
      <c r="O97" s="6"/>
      <c r="P97" s="6"/>
      <c r="Q97" s="6"/>
      <c r="R97" s="6"/>
      <c r="S97" s="6"/>
      <c r="T97" s="6"/>
      <c r="U97" s="6"/>
      <c r="V97" s="6"/>
      <c r="W97" s="6"/>
      <c r="X97" s="6"/>
      <c r="Y97" s="6"/>
      <c r="Z97" s="6"/>
      <c r="AA97" s="6"/>
      <c r="AB97" s="6"/>
    </row>
    <row r="98" spans="2:28" ht="15.75" customHeight="1">
      <c r="B98" s="6"/>
      <c r="C98" s="6"/>
      <c r="D98" s="6"/>
      <c r="E98" s="6"/>
      <c r="F98" s="6"/>
      <c r="G98" s="6"/>
      <c r="H98" s="6"/>
      <c r="I98" s="6"/>
      <c r="J98" s="6"/>
      <c r="K98" s="6"/>
      <c r="L98" s="6"/>
      <c r="M98" s="6"/>
      <c r="N98" s="6"/>
      <c r="O98" s="6"/>
      <c r="P98" s="6"/>
      <c r="Q98" s="6"/>
      <c r="R98" s="6"/>
      <c r="S98" s="6"/>
      <c r="T98" s="6"/>
      <c r="U98" s="6"/>
      <c r="V98" s="6"/>
      <c r="W98" s="6"/>
      <c r="X98" s="6"/>
      <c r="Y98" s="6"/>
      <c r="Z98" s="6"/>
      <c r="AA98" s="6"/>
      <c r="AB98" s="6"/>
    </row>
    <row r="99" spans="2:28" ht="15.75" customHeight="1">
      <c r="B99" s="6"/>
      <c r="C99" s="6"/>
      <c r="D99" s="6"/>
      <c r="E99" s="6"/>
      <c r="F99" s="6"/>
      <c r="G99" s="6"/>
      <c r="H99" s="6"/>
      <c r="I99" s="6"/>
      <c r="J99" s="6"/>
      <c r="K99" s="6"/>
      <c r="L99" s="6"/>
      <c r="M99" s="6"/>
      <c r="N99" s="6"/>
      <c r="O99" s="6"/>
      <c r="P99" s="6"/>
      <c r="Q99" s="6"/>
      <c r="R99" s="6"/>
      <c r="S99" s="6"/>
      <c r="T99" s="6"/>
      <c r="U99" s="6"/>
      <c r="V99" s="6"/>
      <c r="W99" s="6"/>
      <c r="X99" s="6"/>
      <c r="Y99" s="6"/>
      <c r="Z99" s="6"/>
      <c r="AA99" s="6"/>
      <c r="AB99" s="6"/>
    </row>
    <row r="100" spans="2:28" ht="15.75" customHeight="1">
      <c r="B100" s="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row>
    <row r="101" spans="2:28" ht="15.75" customHeight="1">
      <c r="B101" s="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row>
    <row r="102" spans="2:28" ht="15.75" customHeight="1">
      <c r="B102" s="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row>
    <row r="103" spans="2:28" ht="15.75" customHeight="1">
      <c r="B103" s="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row>
    <row r="104" spans="2:28" ht="15.75" customHeight="1">
      <c r="B104" s="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row>
    <row r="105" spans="2:28" ht="15.75" customHeight="1">
      <c r="B105" s="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row>
    <row r="106" spans="2:28" ht="15.75" customHeight="1">
      <c r="B106" s="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row>
    <row r="107" spans="2:28" ht="15.75" customHeight="1">
      <c r="B107" s="6"/>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row>
    <row r="108" spans="2:28" ht="15.75" customHeight="1">
      <c r="B108" s="6"/>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row>
    <row r="109" spans="2:28" ht="15.75" customHeight="1">
      <c r="B109" s="6"/>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row>
    <row r="110" spans="2:28" ht="15.75" customHeight="1">
      <c r="B110" s="6"/>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row>
    <row r="111" spans="2:28" ht="15.75" customHeight="1">
      <c r="B111" s="6"/>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row>
    <row r="112" spans="2:28" ht="15.75" customHeight="1">
      <c r="B112" s="6"/>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row>
    <row r="113" spans="2:28" ht="15.75" customHeight="1">
      <c r="B113" s="6"/>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row>
    <row r="114" spans="2:28" ht="15.75" customHeight="1">
      <c r="B114" s="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row>
    <row r="115" spans="2:28" ht="15.75" customHeight="1">
      <c r="B115" s="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row>
    <row r="116" spans="2:28" ht="15.75" customHeight="1">
      <c r="B116" s="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row>
    <row r="117" spans="2:28" ht="15.75" customHeight="1">
      <c r="B117" s="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row>
    <row r="118" spans="2:28" ht="15.75" customHeight="1">
      <c r="B118" s="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row>
    <row r="119" spans="2:28" ht="15.75" customHeight="1">
      <c r="B119" s="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row>
    <row r="120" spans="2:28" ht="15.75" customHeight="1">
      <c r="B120" s="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row>
    <row r="121" spans="2:28" ht="15.75" customHeight="1">
      <c r="B121" s="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row>
    <row r="122" spans="2:28" ht="15.75" customHeight="1">
      <c r="B122" s="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row>
    <row r="123" spans="2:28" ht="15.75" customHeight="1">
      <c r="B123" s="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row>
    <row r="124" spans="2:28" ht="15.75" customHeight="1">
      <c r="B124" s="6"/>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row>
    <row r="125" spans="2:28" ht="15.75" customHeight="1">
      <c r="B125" s="6"/>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row>
    <row r="126" spans="2:28" ht="15.75" customHeight="1">
      <c r="B126" s="6"/>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row>
    <row r="127" spans="2:28" ht="15.75" customHeight="1">
      <c r="B127" s="6"/>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row>
    <row r="128" spans="2:28" ht="15.75" customHeight="1">
      <c r="B128" s="6"/>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row>
    <row r="129" spans="2:28" ht="15.75" customHeight="1">
      <c r="B129" s="6"/>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row>
    <row r="130" spans="2:28" ht="15.75" customHeight="1">
      <c r="B130" s="6"/>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row>
    <row r="131" spans="2:28" ht="15.75" customHeight="1">
      <c r="B131" s="6"/>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row>
    <row r="132" spans="2:28" ht="15.75" customHeight="1">
      <c r="B132" s="6"/>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row>
    <row r="133" spans="2:28" ht="15.75" customHeight="1">
      <c r="B133" s="6"/>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row>
    <row r="134" spans="2:28" ht="15.75" customHeight="1">
      <c r="B134" s="6"/>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row>
    <row r="135" spans="2:28" ht="15.75" customHeight="1">
      <c r="B135" s="6"/>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row>
    <row r="136" spans="2:28" ht="15.75" customHeight="1">
      <c r="B136" s="6"/>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row>
    <row r="137" spans="2:28" ht="15.75" customHeight="1">
      <c r="B137" s="6"/>
      <c r="C137" s="6"/>
      <c r="D137" s="6"/>
      <c r="E137" s="6"/>
      <c r="F137" s="6"/>
      <c r="G137" s="6"/>
      <c r="H137" s="6"/>
      <c r="I137" s="6"/>
      <c r="J137" s="6"/>
      <c r="K137" s="6"/>
      <c r="L137" s="6"/>
      <c r="M137" s="6"/>
      <c r="N137" s="6"/>
      <c r="O137" s="6"/>
      <c r="P137" s="6"/>
      <c r="Q137" s="6"/>
      <c r="R137" s="6"/>
      <c r="S137" s="6"/>
      <c r="T137" s="6"/>
      <c r="U137" s="6"/>
      <c r="V137" s="6"/>
      <c r="W137" s="6"/>
      <c r="X137" s="6"/>
      <c r="Y137" s="6"/>
      <c r="Z137" s="6"/>
      <c r="AA137" s="6"/>
      <c r="AB137" s="6"/>
    </row>
    <row r="138" spans="2:28" ht="15.75" customHeight="1">
      <c r="B138" s="6"/>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row>
    <row r="139" spans="2:28" ht="15.75" customHeight="1">
      <c r="B139" s="6"/>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row>
    <row r="140" spans="2:28" ht="15.75" customHeight="1">
      <c r="B140" s="6"/>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row>
    <row r="141" spans="2:28" ht="15.75" customHeight="1">
      <c r="B141" s="6"/>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row>
    <row r="142" spans="2:28" ht="15.75" customHeight="1">
      <c r="B142" s="6"/>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row>
    <row r="143" spans="2:28" ht="15.75" customHeight="1">
      <c r="B143" s="6"/>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row>
    <row r="144" spans="2:28" ht="15.75" customHeight="1">
      <c r="B144" s="6"/>
      <c r="C144" s="6"/>
      <c r="D144" s="6"/>
      <c r="E144" s="6"/>
      <c r="F144" s="6"/>
      <c r="G144" s="6"/>
      <c r="H144" s="6"/>
      <c r="I144" s="6"/>
      <c r="J144" s="6"/>
      <c r="K144" s="6"/>
      <c r="L144" s="6"/>
      <c r="M144" s="6"/>
      <c r="N144" s="6"/>
      <c r="O144" s="6"/>
      <c r="P144" s="6"/>
      <c r="Q144" s="6"/>
      <c r="R144" s="6"/>
      <c r="S144" s="6"/>
      <c r="T144" s="6"/>
      <c r="U144" s="6"/>
      <c r="V144" s="6"/>
      <c r="W144" s="6"/>
      <c r="X144" s="6"/>
      <c r="Y144" s="6"/>
      <c r="Z144" s="6"/>
      <c r="AA144" s="6"/>
      <c r="AB144" s="6"/>
    </row>
    <row r="145" spans="2:28" ht="15.75" customHeight="1">
      <c r="B145" s="6"/>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row>
    <row r="146" spans="2:28" ht="15.75" customHeight="1">
      <c r="B146" s="6"/>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row>
    <row r="147" spans="2:28" ht="15.75" customHeight="1">
      <c r="B147" s="6"/>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row>
    <row r="148" spans="2:28" ht="15.75" customHeight="1">
      <c r="B148" s="6"/>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row>
    <row r="149" spans="2:28" ht="15.75" customHeight="1">
      <c r="B149" s="6"/>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row>
    <row r="150" spans="2:28" ht="15.75" customHeight="1">
      <c r="B150" s="6"/>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row>
    <row r="151" spans="2:28" ht="15.75" customHeight="1">
      <c r="B151" s="6"/>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row>
    <row r="152" spans="2:28" ht="15.75" customHeight="1">
      <c r="B152" s="6"/>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row>
    <row r="153" spans="2:28" ht="15.75" customHeight="1">
      <c r="B153" s="6"/>
      <c r="C153" s="6"/>
      <c r="D153" s="6"/>
      <c r="E153" s="6"/>
      <c r="F153" s="6"/>
      <c r="G153" s="6"/>
      <c r="H153" s="6"/>
      <c r="I153" s="6"/>
      <c r="J153" s="6"/>
      <c r="K153" s="6"/>
      <c r="L153" s="6"/>
      <c r="M153" s="6"/>
      <c r="N153" s="6"/>
      <c r="O153" s="6"/>
      <c r="P153" s="6"/>
      <c r="Q153" s="6"/>
      <c r="R153" s="6"/>
      <c r="S153" s="6"/>
      <c r="T153" s="6"/>
      <c r="U153" s="6"/>
      <c r="V153" s="6"/>
      <c r="W153" s="6"/>
      <c r="X153" s="6"/>
      <c r="Y153" s="6"/>
      <c r="Z153" s="6"/>
      <c r="AA153" s="6"/>
      <c r="AB153" s="6"/>
    </row>
    <row r="154" spans="2:28" ht="15.75" customHeight="1">
      <c r="B154" s="6"/>
      <c r="C154" s="6"/>
      <c r="D154" s="6"/>
      <c r="E154" s="6"/>
      <c r="F154" s="6"/>
      <c r="G154" s="6"/>
      <c r="H154" s="6"/>
      <c r="I154" s="6"/>
      <c r="J154" s="6"/>
      <c r="K154" s="6"/>
      <c r="L154" s="6"/>
      <c r="M154" s="6"/>
      <c r="N154" s="6"/>
      <c r="O154" s="6"/>
      <c r="P154" s="6"/>
      <c r="Q154" s="6"/>
      <c r="R154" s="6"/>
      <c r="S154" s="6"/>
      <c r="T154" s="6"/>
      <c r="U154" s="6"/>
      <c r="V154" s="6"/>
      <c r="W154" s="6"/>
      <c r="X154" s="6"/>
      <c r="Y154" s="6"/>
      <c r="Z154" s="6"/>
      <c r="AA154" s="6"/>
      <c r="AB154" s="6"/>
    </row>
    <row r="155" spans="2:28" ht="15.75" customHeight="1">
      <c r="B155" s="6"/>
      <c r="C155" s="6"/>
      <c r="D155" s="6"/>
      <c r="E155" s="6"/>
      <c r="F155" s="6"/>
      <c r="G155" s="6"/>
      <c r="H155" s="6"/>
      <c r="I155" s="6"/>
      <c r="J155" s="6"/>
      <c r="K155" s="6"/>
      <c r="L155" s="6"/>
      <c r="M155" s="6"/>
      <c r="N155" s="6"/>
      <c r="O155" s="6"/>
      <c r="P155" s="6"/>
      <c r="Q155" s="6"/>
      <c r="R155" s="6"/>
      <c r="S155" s="6"/>
      <c r="T155" s="6"/>
      <c r="U155" s="6"/>
      <c r="V155" s="6"/>
      <c r="W155" s="6"/>
      <c r="X155" s="6"/>
      <c r="Y155" s="6"/>
      <c r="Z155" s="6"/>
      <c r="AA155" s="6"/>
      <c r="AB155" s="6"/>
    </row>
    <row r="156" spans="2:28" ht="15.75" customHeight="1">
      <c r="B156" s="6"/>
      <c r="C156" s="6"/>
      <c r="D156" s="6"/>
      <c r="E156" s="6"/>
      <c r="F156" s="6"/>
      <c r="G156" s="6"/>
      <c r="H156" s="6"/>
      <c r="I156" s="6"/>
      <c r="J156" s="6"/>
      <c r="K156" s="6"/>
      <c r="L156" s="6"/>
      <c r="M156" s="6"/>
      <c r="N156" s="6"/>
      <c r="O156" s="6"/>
      <c r="P156" s="6"/>
      <c r="Q156" s="6"/>
      <c r="R156" s="6"/>
      <c r="S156" s="6"/>
      <c r="T156" s="6"/>
      <c r="U156" s="6"/>
      <c r="V156" s="6"/>
      <c r="W156" s="6"/>
      <c r="X156" s="6"/>
      <c r="Y156" s="6"/>
      <c r="Z156" s="6"/>
      <c r="AA156" s="6"/>
      <c r="AB156" s="6"/>
    </row>
    <row r="157" spans="2:28" ht="15.75" customHeight="1">
      <c r="B157" s="6"/>
      <c r="C157" s="6"/>
      <c r="D157" s="6"/>
      <c r="E157" s="6"/>
      <c r="F157" s="6"/>
      <c r="G157" s="6"/>
      <c r="H157" s="6"/>
      <c r="I157" s="6"/>
      <c r="J157" s="6"/>
      <c r="K157" s="6"/>
      <c r="L157" s="6"/>
      <c r="M157" s="6"/>
      <c r="N157" s="6"/>
      <c r="O157" s="6"/>
      <c r="P157" s="6"/>
      <c r="Q157" s="6"/>
      <c r="R157" s="6"/>
      <c r="S157" s="6"/>
      <c r="T157" s="6"/>
      <c r="U157" s="6"/>
      <c r="V157" s="6"/>
      <c r="W157" s="6"/>
      <c r="X157" s="6"/>
      <c r="Y157" s="6"/>
      <c r="Z157" s="6"/>
      <c r="AA157" s="6"/>
      <c r="AB157" s="6"/>
    </row>
    <row r="158" spans="2:28" ht="15.75" customHeight="1">
      <c r="B158" s="6"/>
      <c r="C158" s="6"/>
      <c r="D158" s="6"/>
      <c r="E158" s="6"/>
      <c r="F158" s="6"/>
      <c r="G158" s="6"/>
      <c r="H158" s="6"/>
      <c r="I158" s="6"/>
      <c r="J158" s="6"/>
      <c r="K158" s="6"/>
      <c r="L158" s="6"/>
      <c r="M158" s="6"/>
      <c r="N158" s="6"/>
      <c r="O158" s="6"/>
      <c r="P158" s="6"/>
      <c r="Q158" s="6"/>
      <c r="R158" s="6"/>
      <c r="S158" s="6"/>
      <c r="T158" s="6"/>
      <c r="U158" s="6"/>
      <c r="V158" s="6"/>
      <c r="W158" s="6"/>
      <c r="X158" s="6"/>
      <c r="Y158" s="6"/>
      <c r="Z158" s="6"/>
      <c r="AA158" s="6"/>
      <c r="AB158" s="6"/>
    </row>
    <row r="159" spans="2:28" ht="15.75" customHeight="1">
      <c r="B159" s="6"/>
      <c r="C159" s="6"/>
      <c r="D159" s="6"/>
      <c r="E159" s="6"/>
      <c r="F159" s="6"/>
      <c r="G159" s="6"/>
      <c r="H159" s="6"/>
      <c r="I159" s="6"/>
      <c r="J159" s="6"/>
      <c r="K159" s="6"/>
      <c r="L159" s="6"/>
      <c r="M159" s="6"/>
      <c r="N159" s="6"/>
      <c r="O159" s="6"/>
      <c r="P159" s="6"/>
      <c r="Q159" s="6"/>
      <c r="R159" s="6"/>
      <c r="S159" s="6"/>
      <c r="T159" s="6"/>
      <c r="U159" s="6"/>
      <c r="V159" s="6"/>
      <c r="W159" s="6"/>
      <c r="X159" s="6"/>
      <c r="Y159" s="6"/>
      <c r="Z159" s="6"/>
      <c r="AA159" s="6"/>
      <c r="AB159" s="6"/>
    </row>
    <row r="160" spans="2:28" ht="15.75" customHeight="1">
      <c r="B160" s="6"/>
      <c r="C160" s="6"/>
      <c r="D160" s="6"/>
      <c r="E160" s="6"/>
      <c r="F160" s="6"/>
      <c r="G160" s="6"/>
      <c r="H160" s="6"/>
      <c r="I160" s="6"/>
      <c r="J160" s="6"/>
      <c r="K160" s="6"/>
      <c r="L160" s="6"/>
      <c r="M160" s="6"/>
      <c r="N160" s="6"/>
      <c r="O160" s="6"/>
      <c r="P160" s="6"/>
      <c r="Q160" s="6"/>
      <c r="R160" s="6"/>
      <c r="S160" s="6"/>
      <c r="T160" s="6"/>
      <c r="U160" s="6"/>
      <c r="V160" s="6"/>
      <c r="W160" s="6"/>
      <c r="X160" s="6"/>
      <c r="Y160" s="6"/>
      <c r="Z160" s="6"/>
      <c r="AA160" s="6"/>
      <c r="AB160" s="6"/>
    </row>
    <row r="161" spans="2:28" ht="15.75" customHeight="1">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row>
    <row r="162" spans="2:28" ht="15.75" customHeight="1">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row>
    <row r="163" spans="2:28" ht="15.75" customHeight="1">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row>
    <row r="164" spans="2:28" ht="15.75" customHeight="1">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row>
    <row r="165" spans="2:28" ht="15.75" customHeight="1">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row>
    <row r="166" spans="2:28" ht="15.75" customHeight="1">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row>
    <row r="167" spans="2:28" ht="15.75" customHeight="1">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row>
    <row r="168" spans="2:28" ht="15.75" customHeight="1">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row>
    <row r="169" spans="2:28" ht="15.75" customHeight="1">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row>
    <row r="170" spans="2:28" ht="15.75" customHeight="1">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row>
    <row r="171" spans="2:28" ht="15.75" customHeight="1">
      <c r="B171" s="6"/>
      <c r="C171" s="6"/>
      <c r="D171" s="6"/>
      <c r="E171" s="6"/>
      <c r="F171" s="6"/>
      <c r="G171" s="6"/>
      <c r="H171" s="6"/>
      <c r="I171" s="6"/>
      <c r="J171" s="6"/>
      <c r="K171" s="6"/>
      <c r="L171" s="6"/>
      <c r="M171" s="6"/>
      <c r="N171" s="6"/>
      <c r="O171" s="6"/>
      <c r="P171" s="6"/>
      <c r="Q171" s="6"/>
      <c r="R171" s="6"/>
      <c r="S171" s="6"/>
      <c r="T171" s="6"/>
      <c r="U171" s="6"/>
      <c r="V171" s="6"/>
      <c r="W171" s="6"/>
      <c r="X171" s="6"/>
      <c r="Y171" s="6"/>
      <c r="Z171" s="6"/>
      <c r="AA171" s="6"/>
      <c r="AB171" s="6"/>
    </row>
    <row r="172" spans="2:28" ht="15.75" customHeight="1">
      <c r="B172" s="6"/>
      <c r="C172" s="6"/>
      <c r="D172" s="6"/>
      <c r="E172" s="6"/>
      <c r="F172" s="6"/>
      <c r="G172" s="6"/>
      <c r="H172" s="6"/>
      <c r="I172" s="6"/>
      <c r="J172" s="6"/>
      <c r="K172" s="6"/>
      <c r="L172" s="6"/>
      <c r="M172" s="6"/>
      <c r="N172" s="6"/>
      <c r="O172" s="6"/>
      <c r="P172" s="6"/>
      <c r="Q172" s="6"/>
      <c r="R172" s="6"/>
      <c r="S172" s="6"/>
      <c r="T172" s="6"/>
      <c r="U172" s="6"/>
      <c r="V172" s="6"/>
      <c r="W172" s="6"/>
      <c r="X172" s="6"/>
      <c r="Y172" s="6"/>
      <c r="Z172" s="6"/>
      <c r="AA172" s="6"/>
      <c r="AB172" s="6"/>
    </row>
    <row r="173" spans="2:28" ht="15.75" customHeight="1">
      <c r="B173" s="6"/>
      <c r="C173" s="6"/>
      <c r="D173" s="6"/>
      <c r="E173" s="6"/>
      <c r="F173" s="6"/>
      <c r="G173" s="6"/>
      <c r="H173" s="6"/>
      <c r="I173" s="6"/>
      <c r="J173" s="6"/>
      <c r="K173" s="6"/>
      <c r="L173" s="6"/>
      <c r="M173" s="6"/>
      <c r="N173" s="6"/>
      <c r="O173" s="6"/>
      <c r="P173" s="6"/>
      <c r="Q173" s="6"/>
      <c r="R173" s="6"/>
      <c r="S173" s="6"/>
      <c r="T173" s="6"/>
      <c r="U173" s="6"/>
      <c r="V173" s="6"/>
      <c r="W173" s="6"/>
      <c r="X173" s="6"/>
      <c r="Y173" s="6"/>
      <c r="Z173" s="6"/>
      <c r="AA173" s="6"/>
      <c r="AB173" s="6"/>
    </row>
    <row r="174" spans="2:28" ht="15.75" customHeight="1">
      <c r="B174" s="6"/>
      <c r="C174" s="6"/>
      <c r="D174" s="6"/>
      <c r="E174" s="6"/>
      <c r="F174" s="6"/>
      <c r="G174" s="6"/>
      <c r="H174" s="6"/>
      <c r="I174" s="6"/>
      <c r="J174" s="6"/>
      <c r="K174" s="6"/>
      <c r="L174" s="6"/>
      <c r="M174" s="6"/>
      <c r="N174" s="6"/>
      <c r="O174" s="6"/>
      <c r="P174" s="6"/>
      <c r="Q174" s="6"/>
      <c r="R174" s="6"/>
      <c r="S174" s="6"/>
      <c r="T174" s="6"/>
      <c r="U174" s="6"/>
      <c r="V174" s="6"/>
      <c r="W174" s="6"/>
      <c r="X174" s="6"/>
      <c r="Y174" s="6"/>
      <c r="Z174" s="6"/>
      <c r="AA174" s="6"/>
      <c r="AB174" s="6"/>
    </row>
    <row r="175" spans="2:28" ht="15.75" customHeight="1">
      <c r="B175" s="6"/>
      <c r="C175" s="6"/>
      <c r="D175" s="6"/>
      <c r="E175" s="6"/>
      <c r="F175" s="6"/>
      <c r="G175" s="6"/>
      <c r="H175" s="6"/>
      <c r="I175" s="6"/>
      <c r="J175" s="6"/>
      <c r="K175" s="6"/>
      <c r="L175" s="6"/>
      <c r="M175" s="6"/>
      <c r="N175" s="6"/>
      <c r="O175" s="6"/>
      <c r="P175" s="6"/>
      <c r="Q175" s="6"/>
      <c r="R175" s="6"/>
      <c r="S175" s="6"/>
      <c r="T175" s="6"/>
      <c r="U175" s="6"/>
      <c r="V175" s="6"/>
      <c r="W175" s="6"/>
      <c r="X175" s="6"/>
      <c r="Y175" s="6"/>
      <c r="Z175" s="6"/>
      <c r="AA175" s="6"/>
      <c r="AB175" s="6"/>
    </row>
    <row r="176" spans="2:28" ht="15.75" customHeight="1">
      <c r="B176" s="6"/>
      <c r="C176" s="6"/>
      <c r="D176" s="6"/>
      <c r="E176" s="6"/>
      <c r="F176" s="6"/>
      <c r="G176" s="6"/>
      <c r="H176" s="6"/>
      <c r="I176" s="6"/>
      <c r="J176" s="6"/>
      <c r="K176" s="6"/>
      <c r="L176" s="6"/>
      <c r="M176" s="6"/>
      <c r="N176" s="6"/>
      <c r="O176" s="6"/>
      <c r="P176" s="6"/>
      <c r="Q176" s="6"/>
      <c r="R176" s="6"/>
      <c r="S176" s="6"/>
      <c r="T176" s="6"/>
      <c r="U176" s="6"/>
      <c r="V176" s="6"/>
      <c r="W176" s="6"/>
      <c r="X176" s="6"/>
      <c r="Y176" s="6"/>
      <c r="Z176" s="6"/>
      <c r="AA176" s="6"/>
      <c r="AB176" s="6"/>
    </row>
    <row r="177" spans="2:28" ht="15.75" customHeight="1">
      <c r="B177" s="6"/>
      <c r="C177" s="6"/>
      <c r="D177" s="6"/>
      <c r="E177" s="6"/>
      <c r="F177" s="6"/>
      <c r="G177" s="6"/>
      <c r="H177" s="6"/>
      <c r="I177" s="6"/>
      <c r="J177" s="6"/>
      <c r="K177" s="6"/>
      <c r="L177" s="6"/>
      <c r="M177" s="6"/>
      <c r="N177" s="6"/>
      <c r="O177" s="6"/>
      <c r="P177" s="6"/>
      <c r="Q177" s="6"/>
      <c r="R177" s="6"/>
      <c r="S177" s="6"/>
      <c r="T177" s="6"/>
      <c r="U177" s="6"/>
      <c r="V177" s="6"/>
      <c r="W177" s="6"/>
      <c r="X177" s="6"/>
      <c r="Y177" s="6"/>
      <c r="Z177" s="6"/>
      <c r="AA177" s="6"/>
      <c r="AB177" s="6"/>
    </row>
    <row r="178" spans="2:28" ht="15.75" customHeight="1">
      <c r="B178" s="6"/>
      <c r="C178" s="6"/>
      <c r="D178" s="6"/>
      <c r="E178" s="6"/>
      <c r="F178" s="6"/>
      <c r="G178" s="6"/>
      <c r="H178" s="6"/>
      <c r="I178" s="6"/>
      <c r="J178" s="6"/>
      <c r="K178" s="6"/>
      <c r="L178" s="6"/>
      <c r="M178" s="6"/>
      <c r="N178" s="6"/>
      <c r="O178" s="6"/>
      <c r="P178" s="6"/>
      <c r="Q178" s="6"/>
      <c r="R178" s="6"/>
      <c r="S178" s="6"/>
      <c r="T178" s="6"/>
      <c r="U178" s="6"/>
      <c r="V178" s="6"/>
      <c r="W178" s="6"/>
      <c r="X178" s="6"/>
      <c r="Y178" s="6"/>
      <c r="Z178" s="6"/>
      <c r="AA178" s="6"/>
      <c r="AB178" s="6"/>
    </row>
    <row r="179" spans="2:28" ht="15.75" customHeight="1">
      <c r="B179" s="6"/>
      <c r="C179" s="6"/>
      <c r="D179" s="6"/>
      <c r="E179" s="6"/>
      <c r="F179" s="6"/>
      <c r="G179" s="6"/>
      <c r="H179" s="6"/>
      <c r="I179" s="6"/>
      <c r="J179" s="6"/>
      <c r="K179" s="6"/>
      <c r="L179" s="6"/>
      <c r="M179" s="6"/>
      <c r="N179" s="6"/>
      <c r="O179" s="6"/>
      <c r="P179" s="6"/>
      <c r="Q179" s="6"/>
      <c r="R179" s="6"/>
      <c r="S179" s="6"/>
      <c r="T179" s="6"/>
      <c r="U179" s="6"/>
      <c r="V179" s="6"/>
      <c r="W179" s="6"/>
      <c r="X179" s="6"/>
      <c r="Y179" s="6"/>
      <c r="Z179" s="6"/>
      <c r="AA179" s="6"/>
      <c r="AB179" s="6"/>
    </row>
    <row r="180" spans="2:28" ht="15.75" customHeight="1">
      <c r="B180" s="6"/>
      <c r="C180" s="6"/>
      <c r="D180" s="6"/>
      <c r="E180" s="6"/>
      <c r="F180" s="6"/>
      <c r="G180" s="6"/>
      <c r="H180" s="6"/>
      <c r="I180" s="6"/>
      <c r="J180" s="6"/>
      <c r="K180" s="6"/>
      <c r="L180" s="6"/>
      <c r="M180" s="6"/>
      <c r="N180" s="6"/>
      <c r="O180" s="6"/>
      <c r="P180" s="6"/>
      <c r="Q180" s="6"/>
      <c r="R180" s="6"/>
      <c r="S180" s="6"/>
      <c r="T180" s="6"/>
      <c r="U180" s="6"/>
      <c r="V180" s="6"/>
      <c r="W180" s="6"/>
      <c r="X180" s="6"/>
      <c r="Y180" s="6"/>
      <c r="Z180" s="6"/>
      <c r="AA180" s="6"/>
      <c r="AB180" s="6"/>
    </row>
    <row r="181" spans="2:28" ht="15.75" customHeight="1">
      <c r="B181" s="6"/>
      <c r="C181" s="6"/>
      <c r="D181" s="6"/>
      <c r="E181" s="6"/>
      <c r="F181" s="6"/>
      <c r="G181" s="6"/>
      <c r="H181" s="6"/>
      <c r="I181" s="6"/>
      <c r="J181" s="6"/>
      <c r="K181" s="6"/>
      <c r="L181" s="6"/>
      <c r="M181" s="6"/>
      <c r="N181" s="6"/>
      <c r="O181" s="6"/>
      <c r="P181" s="6"/>
      <c r="Q181" s="6"/>
      <c r="R181" s="6"/>
      <c r="S181" s="6"/>
      <c r="T181" s="6"/>
      <c r="U181" s="6"/>
      <c r="V181" s="6"/>
      <c r="W181" s="6"/>
      <c r="X181" s="6"/>
      <c r="Y181" s="6"/>
      <c r="Z181" s="6"/>
      <c r="AA181" s="6"/>
      <c r="AB181" s="6"/>
    </row>
    <row r="182" spans="2:28" ht="15.75" customHeight="1">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c r="AB182" s="6"/>
    </row>
    <row r="183" spans="2:28" ht="15.75" customHeight="1">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c r="AB183" s="6"/>
    </row>
    <row r="184" spans="2:28" ht="15.75" customHeight="1">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c r="AB184" s="6"/>
    </row>
    <row r="185" spans="2:28" ht="15.75" customHeight="1">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c r="AB185" s="6"/>
    </row>
    <row r="186" spans="2:28" ht="15.75" customHeight="1">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c r="AB186" s="6"/>
    </row>
    <row r="187" spans="2:28" ht="15.75" customHeight="1">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row>
    <row r="188" spans="2:28" ht="15.75" customHeight="1">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c r="AB188" s="6"/>
    </row>
    <row r="189" spans="2:28" ht="15.75" customHeight="1">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c r="AB189" s="6"/>
    </row>
    <row r="190" spans="2:28" ht="15.75" customHeight="1">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c r="AB190" s="6"/>
    </row>
    <row r="191" spans="2:28" ht="15.75" customHeight="1">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c r="AB191" s="6"/>
    </row>
    <row r="192" spans="2:28" ht="15.75" customHeight="1">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c r="AB192" s="6"/>
    </row>
    <row r="193" spans="2:28" ht="15.75" customHeight="1">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c r="AB193" s="6"/>
    </row>
    <row r="194" spans="2:28" ht="15.75" customHeight="1">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c r="AB194" s="6"/>
    </row>
    <row r="195" spans="2:28" ht="15.75" customHeight="1">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c r="AB195" s="6"/>
    </row>
    <row r="196" spans="2:28" ht="15.75" customHeight="1">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c r="AB196" s="6"/>
    </row>
    <row r="197" spans="2:28" ht="15.75" customHeight="1">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c r="AB197" s="6"/>
    </row>
    <row r="198" spans="2:28" ht="15.75" customHeight="1">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c r="AB198" s="6"/>
    </row>
    <row r="199" spans="2:28" ht="15.75" customHeight="1">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c r="AB199" s="6"/>
    </row>
    <row r="200" spans="2:28" ht="15.75" customHeight="1">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row>
    <row r="201" spans="2:28" ht="15.75" customHeight="1">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row>
    <row r="202" spans="2:28" ht="15.75" customHeight="1">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row>
    <row r="203" spans="2:28" ht="15.75" customHeight="1">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row>
    <row r="204" spans="2:28" ht="15.75" customHeight="1">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row>
    <row r="205" spans="2:28" ht="15.75" customHeight="1">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row>
    <row r="206" spans="2:28" ht="15.75" customHeight="1">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row>
    <row r="207" spans="2:28" ht="15.75" customHeight="1">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row>
    <row r="208" spans="2:28" ht="15.75" customHeight="1">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row>
    <row r="209" spans="2:28" ht="15.75" customHeight="1">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row>
    <row r="210" spans="2:28" ht="15.75" customHeight="1">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row>
    <row r="211" spans="2:28" ht="15.75" customHeight="1">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row>
    <row r="212" spans="2:28" ht="15.75" customHeight="1">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row>
    <row r="213" spans="2:28" ht="15.75" customHeight="1">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row>
    <row r="214" spans="2:28" ht="15.75" customHeight="1">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row>
    <row r="215" spans="2:28" ht="15.75" customHeight="1">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c r="AB215" s="6"/>
    </row>
    <row r="216" spans="2:28" ht="15.75" customHeight="1">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row>
    <row r="217" spans="2:28" ht="15.75" customHeight="1">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row>
    <row r="218" spans="2:28" ht="15.75" customHeight="1">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row>
    <row r="219" spans="2:28" ht="15.75" customHeight="1">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row>
    <row r="220" spans="2:28" ht="15.75" customHeight="1">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row>
    <row r="221" spans="2:28" ht="15.75" customHeight="1">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row>
    <row r="222" spans="2:28" ht="15.75" customHeight="1">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row>
    <row r="223" spans="2:28" ht="15.75" customHeight="1">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row>
    <row r="224" spans="2:28" ht="15.75" customHeight="1">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row>
    <row r="225" spans="2:28" ht="15.75" customHeight="1">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row>
    <row r="226" spans="2:28" ht="15.75" customHeight="1">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row>
    <row r="227" spans="2:28" ht="15.75" customHeight="1">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row>
    <row r="228" spans="2:28" ht="15.75" customHeight="1">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row>
    <row r="229" spans="2:28" ht="15.75" customHeight="1">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row>
    <row r="230" spans="2:28" ht="15.75" customHeight="1">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row>
    <row r="231" spans="2:28" ht="15.75" customHeight="1">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row>
    <row r="232" spans="2:28" ht="15.75" customHeight="1">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row>
    <row r="233" spans="2:28" ht="15.75" customHeight="1">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row>
    <row r="234" spans="2:28" ht="15.75" customHeight="1">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row>
    <row r="235" spans="2:28" ht="15.75" customHeight="1">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row>
    <row r="236" spans="2:28" ht="15.75" customHeight="1">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row>
    <row r="237" spans="2:28" ht="15.75" customHeight="1">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c r="AB237" s="6"/>
    </row>
    <row r="238" spans="2:28" ht="15.75" customHeight="1">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c r="AB238" s="6"/>
    </row>
    <row r="239" spans="2:28" ht="15.75" customHeight="1">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c r="AB239" s="6"/>
    </row>
    <row r="240" spans="2:28" ht="15.75" customHeight="1">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c r="AB240" s="6"/>
    </row>
    <row r="241" spans="2:28" ht="15.75" customHeight="1">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c r="AB241" s="6"/>
    </row>
    <row r="242" spans="2:28" ht="15.75" customHeight="1">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c r="AB242" s="6"/>
    </row>
    <row r="243" spans="2:28" ht="15.75" customHeight="1">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c r="AB243" s="6"/>
    </row>
    <row r="244" spans="2:28" ht="15.75" customHeight="1">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c r="AB244" s="6"/>
    </row>
    <row r="245" spans="2:28" ht="15.75" customHeight="1">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c r="AB245" s="6"/>
    </row>
    <row r="246" spans="2:28" ht="15.75" customHeight="1">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c r="AB246" s="6"/>
    </row>
    <row r="247" spans="2:28" ht="15.75" customHeight="1">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c r="AB247" s="6"/>
    </row>
    <row r="248" spans="2:28" ht="15.75" customHeight="1">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c r="AB248" s="6"/>
    </row>
    <row r="249" spans="2:28" ht="15.75" customHeight="1">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c r="AB249" s="6"/>
    </row>
    <row r="250" spans="2:28" ht="15.75" customHeight="1">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c r="AB250" s="6"/>
    </row>
    <row r="251" spans="2:28" ht="15.75" customHeight="1">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c r="AB251" s="6"/>
    </row>
    <row r="252" spans="2:28" ht="15.75" customHeight="1">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c r="AB252" s="6"/>
    </row>
    <row r="253" spans="2:28" ht="15.75" customHeight="1">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c r="AB253" s="6"/>
    </row>
    <row r="254" spans="2:28" ht="15.75" customHeight="1">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c r="AB254" s="6"/>
    </row>
    <row r="255" spans="2:28" ht="15.75" customHeight="1">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c r="AB255" s="6"/>
    </row>
    <row r="256" spans="2:28" ht="15.75" customHeight="1">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c r="AB256" s="6"/>
    </row>
    <row r="257" spans="2:28" ht="15.75" customHeight="1">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c r="AB257" s="6"/>
    </row>
    <row r="258" spans="2:28" ht="15.75" customHeight="1">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c r="AB258" s="6"/>
    </row>
    <row r="259" spans="2:28" ht="15.75" customHeight="1">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c r="AB259" s="6"/>
    </row>
    <row r="260" spans="2:28" ht="15.75" customHeight="1">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c r="AB260" s="6"/>
    </row>
    <row r="261" spans="2:28" ht="15.75" customHeight="1">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c r="AB261" s="6"/>
    </row>
    <row r="262" spans="2:28" ht="15.75" customHeight="1">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c r="AB262" s="6"/>
    </row>
    <row r="263" spans="2:28" ht="15.75" customHeight="1">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c r="AB263" s="6"/>
    </row>
    <row r="264" spans="2:28" ht="15.75" customHeight="1">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c r="AB264" s="6"/>
    </row>
    <row r="265" spans="2:28" ht="15.75" customHeight="1">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c r="AB265" s="6"/>
    </row>
    <row r="266" spans="2:28" ht="15.75" customHeight="1">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c r="AB266" s="6"/>
    </row>
    <row r="267" spans="2:28" ht="15.75" customHeight="1">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c r="AB267" s="6"/>
    </row>
    <row r="268" spans="2:28" ht="15.75" customHeight="1">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c r="AB268" s="6"/>
    </row>
    <row r="269" spans="2:28" ht="15.75" customHeight="1">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c r="AB269" s="6"/>
    </row>
    <row r="270" spans="2:28" ht="15.75" customHeight="1">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c r="AB270" s="6"/>
    </row>
    <row r="271" spans="2:28" ht="15.75" customHeight="1">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c r="AB271" s="6"/>
    </row>
    <row r="272" spans="2:28" ht="15.75" customHeight="1">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c r="AB272" s="6"/>
    </row>
    <row r="273" spans="2:28" ht="15.75" customHeight="1">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c r="AB273" s="6"/>
    </row>
    <row r="274" spans="2:28" ht="15.75" customHeight="1">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c r="AB274" s="6"/>
    </row>
    <row r="275" spans="2:28" ht="15.75" customHeight="1">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c r="AB275" s="6"/>
    </row>
    <row r="276" spans="2:28" ht="15.75" customHeight="1">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c r="AB276" s="6"/>
    </row>
    <row r="277" spans="2:28" ht="15.75" customHeight="1">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c r="AB277" s="6"/>
    </row>
    <row r="278" spans="2:28" ht="15.75" customHeight="1">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c r="AB278" s="6"/>
    </row>
    <row r="279" spans="2:28" ht="15.75" customHeight="1">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c r="AB279" s="6"/>
    </row>
    <row r="280" spans="2:28" ht="15.75" customHeight="1">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c r="AB280" s="6"/>
    </row>
    <row r="281" spans="2:28" ht="15.75" customHeight="1">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c r="AB281" s="6"/>
    </row>
    <row r="282" spans="2:28" ht="15.75" customHeight="1">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c r="AB282" s="6"/>
    </row>
    <row r="283" spans="2:28" ht="15.75" customHeight="1">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c r="AB283" s="6"/>
    </row>
    <row r="284" spans="2:28" ht="15.75" customHeight="1">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c r="AB284" s="6"/>
    </row>
    <row r="285" spans="2:28" ht="15.75" customHeight="1">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c r="AB285" s="6"/>
    </row>
    <row r="286" spans="2:28" ht="15.75" customHeight="1">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c r="AB286" s="6"/>
    </row>
    <row r="287" spans="2:28" ht="15.75" customHeight="1">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c r="AB287" s="6"/>
    </row>
    <row r="288" spans="2:28" ht="15.75" customHeight="1">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c r="AB288" s="6"/>
    </row>
    <row r="289" spans="2:28" ht="15.75" customHeight="1">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c r="AB289" s="6"/>
    </row>
    <row r="290" spans="2:28" ht="15.75" customHeight="1">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c r="AB290" s="6"/>
    </row>
    <row r="291" spans="2:28" ht="15.75" customHeight="1">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c r="AB291" s="6"/>
    </row>
    <row r="292" spans="2:28" ht="15.75" customHeight="1">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c r="AB292" s="6"/>
    </row>
    <row r="293" spans="2:28" ht="15.75" customHeight="1">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c r="AB293" s="6"/>
    </row>
    <row r="294" spans="2:28" ht="15.75" customHeight="1">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c r="AB294" s="6"/>
    </row>
    <row r="295" spans="2:28" ht="15.75" customHeight="1">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c r="AB295" s="6"/>
    </row>
    <row r="296" spans="2:28" ht="15.75" customHeight="1">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c r="AB296" s="6"/>
    </row>
    <row r="297" spans="2:28" ht="15.75" customHeight="1">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c r="AB297" s="6"/>
    </row>
    <row r="298" spans="2:28" ht="15.75" customHeight="1">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c r="AB298" s="6"/>
    </row>
    <row r="299" spans="2:28" ht="15.75" customHeight="1">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c r="AB299" s="6"/>
    </row>
    <row r="300" spans="2:28" ht="15.75" customHeight="1">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c r="AB300" s="6"/>
    </row>
    <row r="301" spans="2:28" ht="15.75" customHeight="1">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c r="AB301" s="6"/>
    </row>
    <row r="302" spans="2:28" ht="15.75" customHeight="1">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c r="AB302" s="6"/>
    </row>
    <row r="303" spans="2:28" ht="15.75" customHeight="1">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c r="AB303" s="6"/>
    </row>
    <row r="304" spans="2:28" ht="15.75" customHeight="1">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c r="AB304" s="6"/>
    </row>
    <row r="305" spans="2:28" ht="15.75" customHeight="1">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c r="AB305" s="6"/>
    </row>
    <row r="306" spans="2:28" ht="15.75" customHeight="1">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c r="AB306" s="6"/>
    </row>
    <row r="307" spans="2:28" ht="15.75" customHeight="1">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c r="AB307" s="6"/>
    </row>
    <row r="308" spans="2:28" ht="15.75" customHeight="1">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c r="AB308" s="6"/>
    </row>
    <row r="309" spans="2:28" ht="15.75" customHeight="1">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c r="AB309" s="6"/>
    </row>
    <row r="310" spans="2:28" ht="15.75" customHeight="1">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c r="AB310" s="6"/>
    </row>
    <row r="311" spans="2:28" ht="15.75" customHeight="1">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c r="AB311" s="6"/>
    </row>
    <row r="312" spans="2:28" ht="15.75" customHeight="1">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c r="AB312" s="6"/>
    </row>
    <row r="313" spans="2:28" ht="15.75" customHeight="1">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c r="AB313" s="6"/>
    </row>
    <row r="314" spans="2:28" ht="15.75" customHeight="1">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c r="AB314" s="6"/>
    </row>
    <row r="315" spans="2:28" ht="15.75" customHeight="1">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c r="AB315" s="6"/>
    </row>
    <row r="316" spans="2:28" ht="15.75" customHeight="1">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c r="AB316" s="6"/>
    </row>
    <row r="317" spans="2:28" ht="15.75" customHeight="1">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c r="AB317" s="6"/>
    </row>
    <row r="318" spans="2:28" ht="15.75" customHeight="1">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c r="AB318" s="6"/>
    </row>
    <row r="319" spans="2:28" ht="15.75" customHeight="1">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c r="AB319" s="6"/>
    </row>
    <row r="320" spans="2:28" ht="15.75" customHeight="1">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c r="AB320" s="6"/>
    </row>
    <row r="321" spans="2:28" ht="15.75" customHeight="1">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c r="AB321" s="6"/>
    </row>
    <row r="322" spans="2:28" ht="15.75" customHeight="1">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c r="AB322" s="6"/>
    </row>
    <row r="323" spans="2:28" ht="15.75" customHeight="1">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c r="AB323" s="6"/>
    </row>
    <row r="324" spans="2:28" ht="15.75" customHeight="1">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c r="AB324" s="6"/>
    </row>
    <row r="325" spans="2:28" ht="15.75" customHeight="1">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c r="AB325" s="6"/>
    </row>
    <row r="326" spans="2:28" ht="15.75" customHeight="1">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c r="AB326" s="6"/>
    </row>
    <row r="327" spans="2:28" ht="15.75" customHeight="1">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c r="AB327" s="6"/>
    </row>
    <row r="328" spans="2:28" ht="15.75" customHeight="1">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c r="AB328" s="6"/>
    </row>
    <row r="329" spans="2:28" ht="15.75" customHeight="1">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c r="AB329" s="6"/>
    </row>
    <row r="330" spans="2:28" ht="15.75" customHeight="1">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c r="AB330" s="6"/>
    </row>
    <row r="331" spans="2:28" ht="15.75" customHeight="1">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c r="AB331" s="6"/>
    </row>
    <row r="332" spans="2:28" ht="15.75" customHeight="1">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c r="AB332" s="6"/>
    </row>
    <row r="333" spans="2:28" ht="15.75" customHeight="1">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c r="AB333" s="6"/>
    </row>
    <row r="334" spans="2:28" ht="15.75" customHeight="1">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c r="AB334" s="6"/>
    </row>
    <row r="335" spans="2:28" ht="15.75" customHeight="1">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c r="AB335" s="6"/>
    </row>
    <row r="336" spans="2:28" ht="15.75" customHeight="1">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c r="AB336" s="6"/>
    </row>
    <row r="337" spans="2:28" ht="15.75" customHeight="1">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c r="AB337" s="6"/>
    </row>
    <row r="338" spans="2:28" ht="15.75" customHeight="1">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c r="AB338" s="6"/>
    </row>
    <row r="339" spans="2:28" ht="15.75" customHeight="1">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c r="AB339" s="6"/>
    </row>
    <row r="340" spans="2:28" ht="15.75" customHeight="1">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c r="AB340" s="6"/>
    </row>
    <row r="341" spans="2:28" ht="15.75" customHeight="1">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c r="AB341" s="6"/>
    </row>
    <row r="342" spans="2:28" ht="15.75" customHeight="1">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c r="AB342" s="6"/>
    </row>
    <row r="343" spans="2:28" ht="15.75" customHeight="1">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c r="AB343" s="6"/>
    </row>
    <row r="344" spans="2:28" ht="15.75" customHeight="1">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c r="AB344" s="6"/>
    </row>
    <row r="345" spans="2:28" ht="15.75" customHeight="1">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c r="AB345" s="6"/>
    </row>
    <row r="346" spans="2:28" ht="15.75" customHeight="1">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c r="AB346" s="6"/>
    </row>
    <row r="347" spans="2:28" ht="15.75" customHeight="1">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c r="AB347" s="6"/>
    </row>
    <row r="348" spans="2:28" ht="15.75" customHeight="1">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c r="AB348" s="6"/>
    </row>
    <row r="349" spans="2:28" ht="15.75" customHeight="1">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c r="AB349" s="6"/>
    </row>
    <row r="350" spans="2:28" ht="15.75" customHeight="1">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c r="AB350" s="6"/>
    </row>
    <row r="351" spans="2:28" ht="15.75" customHeight="1">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c r="AB351" s="6"/>
    </row>
    <row r="352" spans="2:28" ht="15.75" customHeight="1">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c r="AB352" s="6"/>
    </row>
    <row r="353" spans="2:28" ht="15.75" customHeight="1">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c r="AB353" s="6"/>
    </row>
    <row r="354" spans="2:28" ht="15.75" customHeight="1">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c r="AB354" s="6"/>
    </row>
    <row r="355" spans="2:28" ht="15.75" customHeight="1">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c r="AB355" s="6"/>
    </row>
    <row r="356" spans="2:28" ht="15.75" customHeight="1">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c r="AB356" s="6"/>
    </row>
    <row r="357" spans="2:28" ht="15.75" customHeight="1">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c r="AB357" s="6"/>
    </row>
    <row r="358" spans="2:28" ht="15.75" customHeight="1">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c r="AB358" s="6"/>
    </row>
    <row r="359" spans="2:28" ht="15.75" customHeight="1">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c r="AB359" s="6"/>
    </row>
    <row r="360" spans="2:28" ht="15.75" customHeight="1">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c r="AB360" s="6"/>
    </row>
    <row r="361" spans="2:28" ht="15.75" customHeight="1">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c r="AB361" s="6"/>
    </row>
    <row r="362" spans="2:28" ht="15.75" customHeight="1">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c r="AB362" s="6"/>
    </row>
    <row r="363" spans="2:28" ht="15.75" customHeight="1">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c r="AB363" s="6"/>
    </row>
    <row r="364" spans="2:28" ht="15.75" customHeight="1">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c r="AB364" s="6"/>
    </row>
    <row r="365" spans="2:28" ht="15.75" customHeight="1">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c r="AB365" s="6"/>
    </row>
    <row r="366" spans="2:28" ht="15.75" customHeight="1">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c r="AB366" s="6"/>
    </row>
    <row r="367" spans="2:28" ht="15.75" customHeight="1">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c r="AB367" s="6"/>
    </row>
    <row r="368" spans="2:28" ht="15.75" customHeight="1">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c r="AB368" s="6"/>
    </row>
    <row r="369" spans="2:28" ht="15.75" customHeight="1">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c r="AB369" s="6"/>
    </row>
    <row r="370" spans="2:28" ht="15.75" customHeight="1">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c r="AB370" s="6"/>
    </row>
    <row r="371" spans="2:28" ht="15.75" customHeight="1">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c r="AB371" s="6"/>
    </row>
    <row r="372" spans="2:28" ht="15.75" customHeight="1">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c r="AB372" s="6"/>
    </row>
    <row r="373" spans="2:28" ht="15.75" customHeight="1">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c r="AB373" s="6"/>
    </row>
    <row r="374" spans="2:28" ht="15.75" customHeight="1">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c r="AB374" s="6"/>
    </row>
    <row r="375" spans="2:28" ht="15.75" customHeight="1">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c r="AB375" s="6"/>
    </row>
    <row r="376" spans="2:28" ht="15.75" customHeight="1">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c r="AB376" s="6"/>
    </row>
    <row r="377" spans="2:28" ht="15.75" customHeight="1">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c r="AB377" s="6"/>
    </row>
    <row r="378" spans="2:28" ht="15.75" customHeight="1">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c r="AB378" s="6"/>
    </row>
    <row r="379" spans="2:28" ht="15.75" customHeight="1">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c r="AB379" s="6"/>
    </row>
    <row r="380" spans="2:28" ht="15.75" customHeight="1">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c r="AB380" s="6"/>
    </row>
    <row r="381" spans="2:28" ht="15.75" customHeight="1">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c r="AB381" s="6"/>
    </row>
    <row r="382" spans="2:28" ht="15.75" customHeight="1">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c r="AB382" s="6"/>
    </row>
    <row r="383" spans="2:28" ht="15.75" customHeight="1">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c r="AB383" s="6"/>
    </row>
    <row r="384" spans="2:28" ht="15.75" customHeight="1">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c r="AB384" s="6"/>
    </row>
    <row r="385" spans="2:28" ht="15.75" customHeight="1">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c r="AB385" s="6"/>
    </row>
    <row r="386" spans="2:28" ht="15.75" customHeight="1">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c r="AB386" s="6"/>
    </row>
    <row r="387" spans="2:28" ht="15.75" customHeight="1">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c r="AB387" s="6"/>
    </row>
    <row r="388" spans="2:28" ht="15.75" customHeight="1">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c r="AB388" s="6"/>
    </row>
    <row r="389" spans="2:28" ht="15.75" customHeight="1">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c r="AB389" s="6"/>
    </row>
    <row r="390" spans="2:28" ht="15.75" customHeight="1">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c r="AB390" s="6"/>
    </row>
    <row r="391" spans="2:28" ht="15.75" customHeight="1">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c r="AB391" s="6"/>
    </row>
    <row r="392" spans="2:28" ht="15.75" customHeight="1">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c r="AB392" s="6"/>
    </row>
    <row r="393" spans="2:28" ht="15.75" customHeight="1">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c r="AB393" s="6"/>
    </row>
    <row r="394" spans="2:28" ht="15.75" customHeight="1">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c r="AB394" s="6"/>
    </row>
    <row r="395" spans="2:28" ht="15.75" customHeight="1">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row>
    <row r="396" spans="2:28" ht="15.75" customHeight="1">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row>
    <row r="397" spans="2:28" ht="15.75" customHeight="1">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row>
    <row r="398" spans="2:28" ht="15.75" customHeight="1">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row>
    <row r="399" spans="2:28" ht="15.75" customHeight="1">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row>
    <row r="400" spans="2:28" ht="15.75" customHeight="1">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row>
    <row r="401" spans="2:28" ht="15.75" customHeight="1">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row>
    <row r="402" spans="2:28" ht="15.75" customHeight="1">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row>
    <row r="403" spans="2:28" ht="15.75" customHeight="1">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row>
    <row r="404" spans="2:28" ht="15.75" customHeight="1">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row>
    <row r="405" spans="2:28" ht="15.75" customHeight="1">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row>
    <row r="406" spans="2:28" ht="15.75" customHeight="1">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row>
    <row r="407" spans="2:28" ht="15.75" customHeight="1">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c r="AB407" s="6"/>
    </row>
    <row r="408" spans="2:28" ht="15.75" customHeight="1">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c r="AB408" s="6"/>
    </row>
    <row r="409" spans="2:28" ht="15.75" customHeight="1">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c r="AB409" s="6"/>
    </row>
    <row r="410" spans="2:28" ht="15.75" customHeight="1">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c r="AB410" s="6"/>
    </row>
    <row r="411" spans="2:28" ht="15.75" customHeight="1">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c r="AB411" s="6"/>
    </row>
    <row r="412" spans="2:28" ht="15.75" customHeight="1">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c r="AB412" s="6"/>
    </row>
    <row r="413" spans="2:28" ht="15.75" customHeight="1">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c r="AB413" s="6"/>
    </row>
    <row r="414" spans="2:28" ht="15.75" customHeight="1">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c r="AB414" s="6"/>
    </row>
    <row r="415" spans="2:28" ht="15.75" customHeight="1">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c r="AB415" s="6"/>
    </row>
    <row r="416" spans="2:28" ht="15.75" customHeight="1">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c r="AB416" s="6"/>
    </row>
    <row r="417" spans="2:28" ht="15.75" customHeight="1">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c r="AB417" s="6"/>
    </row>
    <row r="418" spans="2:28" ht="15.75" customHeight="1">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c r="AB418" s="6"/>
    </row>
    <row r="419" spans="2:28" ht="15.75" customHeight="1">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c r="AB419" s="6"/>
    </row>
    <row r="420" spans="2:28" ht="15.75" customHeight="1">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c r="AB420" s="6"/>
    </row>
    <row r="421" spans="2:28" ht="15.75" customHeight="1">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c r="AB421" s="6"/>
    </row>
    <row r="422" spans="2:28" ht="15.75" customHeight="1">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c r="AB422" s="6"/>
    </row>
    <row r="423" spans="2:28" ht="15.75" customHeight="1">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c r="AB423" s="6"/>
    </row>
    <row r="424" spans="2:28" ht="15.75" customHeight="1">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c r="AB424" s="6"/>
    </row>
    <row r="425" spans="2:28" ht="15.75" customHeight="1">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c r="AB425" s="6"/>
    </row>
    <row r="426" spans="2:28" ht="15.75" customHeight="1">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c r="AB426" s="6"/>
    </row>
    <row r="427" spans="2:28" ht="15.75" customHeight="1">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c r="AB427" s="6"/>
    </row>
    <row r="428" spans="2:28" ht="15.75" customHeight="1">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c r="AB428" s="6"/>
    </row>
    <row r="429" spans="2:28" ht="15.75" customHeight="1">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c r="AB429" s="6"/>
    </row>
    <row r="430" spans="2:28" ht="15.75" customHeight="1">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c r="AB430" s="6"/>
    </row>
    <row r="431" spans="2:28" ht="15.75" customHeight="1">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c r="AB431" s="6"/>
    </row>
    <row r="432" spans="2:28" ht="15.75" customHeight="1">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c r="AB432" s="6"/>
    </row>
    <row r="433" spans="2:28" ht="15.75" customHeight="1">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c r="AB433" s="6"/>
    </row>
    <row r="434" spans="2:28" ht="15.75" customHeight="1">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c r="AB434" s="6"/>
    </row>
    <row r="435" spans="2:28" ht="15.75" customHeight="1">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c r="AB435" s="6"/>
    </row>
    <row r="436" spans="2:28" ht="15.75" customHeight="1">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c r="AB436" s="6"/>
    </row>
    <row r="437" spans="2:28" ht="15.75" customHeight="1">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c r="AB437" s="6"/>
    </row>
    <row r="438" spans="2:28" ht="15.75" customHeight="1">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c r="AB438" s="6"/>
    </row>
    <row r="439" spans="2:28" ht="15.75" customHeight="1">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c r="AB439" s="6"/>
    </row>
    <row r="440" spans="2:28" ht="15.75" customHeight="1">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c r="AB440" s="6"/>
    </row>
    <row r="441" spans="2:28" ht="15.75" customHeight="1">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c r="AB441" s="6"/>
    </row>
    <row r="442" spans="2:28" ht="15.75" customHeight="1">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c r="AB442" s="6"/>
    </row>
    <row r="443" spans="2:28" ht="15.75" customHeight="1">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c r="AB443" s="6"/>
    </row>
    <row r="444" spans="2:28" ht="15.75" customHeight="1">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c r="AB444" s="6"/>
    </row>
    <row r="445" spans="2:28" ht="15.75" customHeight="1">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c r="AB445" s="6"/>
    </row>
    <row r="446" spans="2:28" ht="15.75" customHeight="1">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c r="AB446" s="6"/>
    </row>
    <row r="447" spans="2:28" ht="15.75" customHeight="1">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c r="AB447" s="6"/>
    </row>
    <row r="448" spans="2:28" ht="15.75" customHeight="1">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c r="AB448" s="6"/>
    </row>
    <row r="449" spans="2:28" ht="15.75" customHeight="1">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row>
    <row r="450" spans="2:28" ht="15.75" customHeight="1">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c r="AB450" s="6"/>
    </row>
    <row r="451" spans="2:28" ht="15.75" customHeight="1">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row>
    <row r="452" spans="2:28" ht="15.75" customHeight="1">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c r="AB452" s="6"/>
    </row>
    <row r="453" spans="2:28" ht="15.75" customHeight="1">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c r="AB453" s="6"/>
    </row>
    <row r="454" spans="2:28" ht="15.75" customHeight="1">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c r="AB454" s="6"/>
    </row>
    <row r="455" spans="2:28" ht="15.75" customHeight="1">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c r="AB455" s="6"/>
    </row>
    <row r="456" spans="2:28" ht="15.75" customHeight="1">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c r="AB456" s="6"/>
    </row>
    <row r="457" spans="2:28" ht="15.75" customHeight="1">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c r="AB457" s="6"/>
    </row>
    <row r="458" spans="2:28" ht="15.75" customHeight="1">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c r="AB458" s="6"/>
    </row>
    <row r="459" spans="2:28" ht="15.75" customHeight="1">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c r="AB459" s="6"/>
    </row>
    <row r="460" spans="2:28" ht="15.75" customHeight="1">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row>
    <row r="461" spans="2:28" ht="15.75" customHeight="1">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row>
    <row r="462" spans="2:28" ht="15.75" customHeight="1">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row>
    <row r="463" spans="2:28" ht="15.75" customHeight="1">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row>
    <row r="464" spans="2:28" ht="15.75" customHeight="1">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row>
    <row r="465" spans="2:28" ht="15.75" customHeight="1">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c r="AB465" s="6"/>
    </row>
    <row r="466" spans="2:28" ht="15.75" customHeight="1">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c r="AB466" s="6"/>
    </row>
    <row r="467" spans="2:28" ht="15.75" customHeight="1">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c r="AB467" s="6"/>
    </row>
    <row r="468" spans="2:28" ht="15.75" customHeight="1">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c r="AB468" s="6"/>
    </row>
    <row r="469" spans="2:28" ht="15.75" customHeight="1">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c r="AB469" s="6"/>
    </row>
    <row r="470" spans="2:28" ht="15.75" customHeight="1">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c r="AB470" s="6"/>
    </row>
    <row r="471" spans="2:28" ht="15.75" customHeight="1">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c r="AB471" s="6"/>
    </row>
    <row r="472" spans="2:28" ht="15.75" customHeight="1">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c r="AB472" s="6"/>
    </row>
    <row r="473" spans="2:28" ht="15.75" customHeight="1">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c r="AB473" s="6"/>
    </row>
    <row r="474" spans="2:28" ht="15.75" customHeight="1">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c r="AB474" s="6"/>
    </row>
    <row r="475" spans="2:28" ht="15.75" customHeight="1">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c r="AB475" s="6"/>
    </row>
    <row r="476" spans="2:28" ht="15.75" customHeight="1">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c r="AB476" s="6"/>
    </row>
    <row r="477" spans="2:28" ht="15.75" customHeight="1">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c r="AB477" s="6"/>
    </row>
    <row r="478" spans="2:28" ht="15.75" customHeight="1">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c r="AB478" s="6"/>
    </row>
    <row r="479" spans="2:28" ht="15.75" customHeight="1">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c r="AB479" s="6"/>
    </row>
    <row r="480" spans="2:28" ht="15.75" customHeight="1">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c r="AB480" s="6"/>
    </row>
    <row r="481" spans="2:28" ht="15.75" customHeight="1">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c r="AB481" s="6"/>
    </row>
    <row r="482" spans="2:28" ht="15.75" customHeight="1">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c r="AB482" s="6"/>
    </row>
    <row r="483" spans="2:28" ht="15.75" customHeight="1">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c r="AB483" s="6"/>
    </row>
    <row r="484" spans="2:28" ht="15.75" customHeight="1">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c r="AB484" s="6"/>
    </row>
    <row r="485" spans="2:28" ht="15.75" customHeight="1">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c r="AB485" s="6"/>
    </row>
    <row r="486" spans="2:28" ht="15.75" customHeight="1">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c r="AB486" s="6"/>
    </row>
    <row r="487" spans="2:28" ht="15.75" customHeight="1">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c r="AB487" s="6"/>
    </row>
    <row r="488" spans="2:28" ht="15.75" customHeight="1">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c r="AB488" s="6"/>
    </row>
    <row r="489" spans="2:28" ht="15.75" customHeight="1">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c r="AB489" s="6"/>
    </row>
    <row r="490" spans="2:28" ht="15.75" customHeight="1">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c r="AB490" s="6"/>
    </row>
    <row r="491" spans="2:28" ht="15.75" customHeight="1">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c r="AB491" s="6"/>
    </row>
    <row r="492" spans="2:28" ht="15.75" customHeight="1">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c r="AB492" s="6"/>
    </row>
    <row r="493" spans="2:28" ht="15.75" customHeight="1">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c r="AB493" s="6"/>
    </row>
    <row r="494" spans="2:28" ht="15.75" customHeight="1">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c r="AB494" s="6"/>
    </row>
    <row r="495" spans="2:28" ht="15.75" customHeight="1">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c r="AB495" s="6"/>
    </row>
    <row r="496" spans="2:28" ht="15.75" customHeight="1">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c r="AB496" s="6"/>
    </row>
    <row r="497" spans="2:28" ht="15.75" customHeight="1">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c r="AB497" s="6"/>
    </row>
    <row r="498" spans="2:28" ht="15.75" customHeight="1">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c r="AB498" s="6"/>
    </row>
    <row r="499" spans="2:28" ht="15.75" customHeight="1">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c r="AB499" s="6"/>
    </row>
    <row r="500" spans="2:28" ht="15.75" customHeight="1">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c r="AB500" s="6"/>
    </row>
    <row r="501" spans="2:28" ht="15.75" customHeight="1">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c r="AB501" s="6"/>
    </row>
    <row r="502" spans="2:28" ht="15.75" customHeight="1">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c r="AB502" s="6"/>
    </row>
    <row r="503" spans="2:28" ht="15.75" customHeight="1">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c r="AB503" s="6"/>
    </row>
    <row r="504" spans="2:28" ht="15.75" customHeight="1">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c r="AB504" s="6"/>
    </row>
    <row r="505" spans="2:28" ht="15.75" customHeight="1">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c r="AB505" s="6"/>
    </row>
    <row r="506" spans="2:28" ht="15.75" customHeight="1">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c r="AB506" s="6"/>
    </row>
    <row r="507" spans="2:28" ht="15.75" customHeight="1">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c r="AB507" s="6"/>
    </row>
    <row r="508" spans="2:28" ht="15.75" customHeight="1">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c r="AB508" s="6"/>
    </row>
    <row r="509" spans="2:28" ht="15.75" customHeight="1">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c r="AB509" s="6"/>
    </row>
    <row r="510" spans="2:28" ht="15.75" customHeight="1">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c r="AB510" s="6"/>
    </row>
    <row r="511" spans="2:28" ht="15.75" customHeight="1">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c r="AB511" s="6"/>
    </row>
    <row r="512" spans="2:28" ht="15.75" customHeight="1">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c r="AB512" s="6"/>
    </row>
    <row r="513" spans="2:28" ht="15.75" customHeight="1">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c r="AB513" s="6"/>
    </row>
    <row r="514" spans="2:28" ht="15.75" customHeight="1">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c r="AB514" s="6"/>
    </row>
    <row r="515" spans="2:28" ht="15.75" customHeight="1">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c r="AB515" s="6"/>
    </row>
    <row r="516" spans="2:28" ht="15.75" customHeight="1">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c r="AB516" s="6"/>
    </row>
    <row r="517" spans="2:28" ht="15.75" customHeight="1">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c r="AB517" s="6"/>
    </row>
    <row r="518" spans="2:28" ht="15.75" customHeight="1">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c r="AB518" s="6"/>
    </row>
    <row r="519" spans="2:28" ht="15.75" customHeight="1">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c r="AB519" s="6"/>
    </row>
    <row r="520" spans="2:28" ht="15.75" customHeight="1">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c r="AB520" s="6"/>
    </row>
    <row r="521" spans="2:28" ht="15.75" customHeight="1">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c r="AB521" s="6"/>
    </row>
    <row r="522" spans="2:28" ht="15.75" customHeight="1">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c r="AB522" s="6"/>
    </row>
    <row r="523" spans="2:28" ht="15.75" customHeight="1">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c r="AB523" s="6"/>
    </row>
    <row r="524" spans="2:28" ht="15.75" customHeight="1">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c r="AB524" s="6"/>
    </row>
    <row r="525" spans="2:28" ht="15.75" customHeight="1">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c r="AB525" s="6"/>
    </row>
    <row r="526" spans="2:28" ht="15.75" customHeight="1">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c r="AB526" s="6"/>
    </row>
    <row r="527" spans="2:28" ht="15.75" customHeight="1">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c r="AB527" s="6"/>
    </row>
    <row r="528" spans="2:28" ht="15.75" customHeight="1">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c r="AB528" s="6"/>
    </row>
    <row r="529" spans="2:28" ht="15.75" customHeight="1">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c r="AB529" s="6"/>
    </row>
    <row r="530" spans="2:28" ht="15.75" customHeight="1">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c r="AB530" s="6"/>
    </row>
    <row r="531" spans="2:28" ht="15.75" customHeight="1">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c r="AB531" s="6"/>
    </row>
    <row r="532" spans="2:28" ht="15.75" customHeight="1">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c r="AB532" s="6"/>
    </row>
    <row r="533" spans="2:28" ht="15.75" customHeight="1">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c r="AB533" s="6"/>
    </row>
    <row r="534" spans="2:28" ht="15.75" customHeight="1">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c r="AB534" s="6"/>
    </row>
    <row r="535" spans="2:28" ht="15.75" customHeight="1">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c r="AB535" s="6"/>
    </row>
    <row r="536" spans="2:28" ht="15.75" customHeight="1">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c r="AB536" s="6"/>
    </row>
    <row r="537" spans="2:28" ht="15.75" customHeight="1">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c r="AB537" s="6"/>
    </row>
    <row r="538" spans="2:28" ht="15.75" customHeight="1">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c r="AB538" s="6"/>
    </row>
    <row r="539" spans="2:28" ht="15.75" customHeight="1">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c r="AB539" s="6"/>
    </row>
    <row r="540" spans="2:28" ht="15.75" customHeight="1">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c r="AB540" s="6"/>
    </row>
    <row r="541" spans="2:28" ht="15.75" customHeight="1">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c r="AB541" s="6"/>
    </row>
    <row r="542" spans="2:28" ht="15.75" customHeight="1">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c r="AB542" s="6"/>
    </row>
    <row r="543" spans="2:28" ht="15.75" customHeight="1">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c r="AB543" s="6"/>
    </row>
    <row r="544" spans="2:28" ht="15.75" customHeight="1">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c r="AB544" s="6"/>
    </row>
    <row r="545" spans="2:28" ht="15.75" customHeight="1">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c r="AB545" s="6"/>
    </row>
    <row r="546" spans="2:28" ht="15.75" customHeight="1">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c r="AB546" s="6"/>
    </row>
    <row r="547" spans="2:28" ht="15.75" customHeight="1">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c r="AB547" s="6"/>
    </row>
    <row r="548" spans="2:28" ht="15.75" customHeight="1">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c r="AB548" s="6"/>
    </row>
    <row r="549" spans="2:28" ht="15.75" customHeight="1">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c r="AB549" s="6"/>
    </row>
    <row r="550" spans="2:28" ht="15.75" customHeight="1">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c r="AB550" s="6"/>
    </row>
    <row r="551" spans="2:28" ht="15.75" customHeight="1">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c r="AB551" s="6"/>
    </row>
    <row r="552" spans="2:28" ht="15.75" customHeight="1">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row>
    <row r="553" spans="2:28" ht="15.75" customHeight="1">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c r="AB553" s="6"/>
    </row>
    <row r="554" spans="2:28" ht="15.75" customHeight="1">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row>
    <row r="555" spans="2:28" ht="15.75" customHeight="1">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c r="AB555" s="6"/>
    </row>
    <row r="556" spans="2:28" ht="15.75" customHeight="1">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row>
    <row r="557" spans="2:28" ht="15.75" customHeight="1">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c r="AB557" s="6"/>
    </row>
    <row r="558" spans="2:28" ht="15.75" customHeight="1">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c r="AB558" s="6"/>
    </row>
    <row r="559" spans="2:28" ht="15.75" customHeight="1">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c r="AB559" s="6"/>
    </row>
    <row r="560" spans="2:28" ht="15.75" customHeight="1">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c r="AB560" s="6"/>
    </row>
    <row r="561" spans="2:28" ht="15.75" customHeight="1">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c r="AB561" s="6"/>
    </row>
    <row r="562" spans="2:28" ht="15.75" customHeight="1">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c r="AB562" s="6"/>
    </row>
    <row r="563" spans="2:28" ht="15.75" customHeight="1">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c r="AB563" s="6"/>
    </row>
    <row r="564" spans="2:28" ht="15.75" customHeight="1">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c r="AB564" s="6"/>
    </row>
    <row r="565" spans="2:28" ht="15.75" customHeight="1">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c r="AB565" s="6"/>
    </row>
    <row r="566" spans="2:28" ht="15.75" customHeight="1">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c r="AB566" s="6"/>
    </row>
    <row r="567" spans="2:28" ht="15.75" customHeight="1">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c r="AB567" s="6"/>
    </row>
    <row r="568" spans="2:28" ht="15.75" customHeight="1">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c r="AB568" s="6"/>
    </row>
    <row r="569" spans="2:28" ht="15.75" customHeight="1">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c r="AB569" s="6"/>
    </row>
    <row r="570" spans="2:28" ht="15.75" customHeight="1">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c r="AB570" s="6"/>
    </row>
    <row r="571" spans="2:28" ht="15.75" customHeight="1">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c r="AB571" s="6"/>
    </row>
    <row r="572" spans="2:28" ht="15.75" customHeight="1">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c r="AB572" s="6"/>
    </row>
    <row r="573" spans="2:28" ht="15.75" customHeight="1">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c r="AB573" s="6"/>
    </row>
    <row r="574" spans="2:28" ht="15.75" customHeight="1">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c r="AB574" s="6"/>
    </row>
    <row r="575" spans="2:28" ht="15.75" customHeight="1">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c r="AB575" s="6"/>
    </row>
    <row r="576" spans="2:28" ht="15.75" customHeight="1">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c r="AB576" s="6"/>
    </row>
    <row r="577" spans="2:28" ht="15.75" customHeight="1">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c r="AB577" s="6"/>
    </row>
    <row r="578" spans="2:28" ht="15.75" customHeight="1">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c r="AB578" s="6"/>
    </row>
    <row r="579" spans="2:28" ht="15.75" customHeight="1">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c r="AB579" s="6"/>
    </row>
    <row r="580" spans="2:28" ht="15.75" customHeight="1">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c r="AB580" s="6"/>
    </row>
    <row r="581" spans="2:28" ht="15.75" customHeight="1">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c r="AB581" s="6"/>
    </row>
    <row r="582" spans="2:28" ht="15.75" customHeight="1">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c r="AB582" s="6"/>
    </row>
    <row r="583" spans="2:28" ht="15.75" customHeight="1">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c r="AB583" s="6"/>
    </row>
    <row r="584" spans="2:28" ht="15.75" customHeight="1">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c r="AB584" s="6"/>
    </row>
    <row r="585" spans="2:28" ht="15.75" customHeight="1">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c r="AB585" s="6"/>
    </row>
    <row r="586" spans="2:28" ht="15.75" customHeight="1">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c r="AB586" s="6"/>
    </row>
    <row r="587" spans="2:28" ht="15.75" customHeight="1">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c r="AB587" s="6"/>
    </row>
    <row r="588" spans="2:28" ht="15.75" customHeight="1">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c r="AB588" s="6"/>
    </row>
    <row r="589" spans="2:28" ht="15.75" customHeight="1">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c r="AB589" s="6"/>
    </row>
    <row r="590" spans="2:28" ht="15.75" customHeight="1">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c r="AB590" s="6"/>
    </row>
    <row r="591" spans="2:28" ht="15.75" customHeight="1">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c r="AB591" s="6"/>
    </row>
    <row r="592" spans="2:28" ht="15.75" customHeight="1">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c r="AB592" s="6"/>
    </row>
    <row r="593" spans="2:28" ht="15.75" customHeight="1">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c r="AB593" s="6"/>
    </row>
    <row r="594" spans="2:28" ht="15.75" customHeight="1">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c r="AB594" s="6"/>
    </row>
    <row r="595" spans="2:28" ht="15.75" customHeight="1">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c r="AB595" s="6"/>
    </row>
    <row r="596" spans="2:28" ht="15.75" customHeight="1">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c r="AB596" s="6"/>
    </row>
    <row r="597" spans="2:28" ht="15.75" customHeight="1">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c r="AB597" s="6"/>
    </row>
    <row r="598" spans="2:28" ht="15.75" customHeight="1">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c r="AB598" s="6"/>
    </row>
    <row r="599" spans="2:28" ht="15.75" customHeight="1">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c r="AB599" s="6"/>
    </row>
    <row r="600" spans="2:28" ht="15.75" customHeight="1">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c r="AB600" s="6"/>
    </row>
    <row r="601" spans="2:28" ht="15.75" customHeight="1">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c r="AB601" s="6"/>
    </row>
    <row r="602" spans="2:28" ht="15.75" customHeight="1">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c r="AB602" s="6"/>
    </row>
    <row r="603" spans="2:28" ht="15.75" customHeight="1">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c r="AB603" s="6"/>
    </row>
    <row r="604" spans="2:28" ht="15.75" customHeight="1">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c r="AB604" s="6"/>
    </row>
    <row r="605" spans="2:28" ht="15.75" customHeight="1">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c r="AB605" s="6"/>
    </row>
    <row r="606" spans="2:28" ht="15.75" customHeight="1">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c r="AB606" s="6"/>
    </row>
    <row r="607" spans="2:28" ht="15.75" customHeight="1">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c r="AB607" s="6"/>
    </row>
    <row r="608" spans="2:28" ht="15.75" customHeight="1">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c r="AB608" s="6"/>
    </row>
    <row r="609" spans="2:28" ht="15.75" customHeight="1">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c r="AB609" s="6"/>
    </row>
    <row r="610" spans="2:28" ht="15.75" customHeight="1">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c r="AB610" s="6"/>
    </row>
    <row r="611" spans="2:28" ht="15.75" customHeight="1">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c r="AB611" s="6"/>
    </row>
    <row r="612" spans="2:28" ht="15.75" customHeight="1">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c r="AB612" s="6"/>
    </row>
    <row r="613" spans="2:28" ht="15.75" customHeight="1">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c r="AB613" s="6"/>
    </row>
    <row r="614" spans="2:28" ht="15.75" customHeight="1">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c r="AB614" s="6"/>
    </row>
    <row r="615" spans="2:28" ht="15.75" customHeight="1">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c r="AB615" s="6"/>
    </row>
    <row r="616" spans="2:28" ht="15.75" customHeight="1">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c r="AB616" s="6"/>
    </row>
    <row r="617" spans="2:28" ht="15.75" customHeight="1">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c r="AB617" s="6"/>
    </row>
    <row r="618" spans="2:28" ht="15.75" customHeight="1">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c r="AB618" s="6"/>
    </row>
    <row r="619" spans="2:28" ht="15.75" customHeight="1">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c r="AB619" s="6"/>
    </row>
    <row r="620" spans="2:28" ht="15.75" customHeight="1">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c r="AB620" s="6"/>
    </row>
    <row r="621" spans="2:28" ht="15.75" customHeight="1">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c r="AB621" s="6"/>
    </row>
    <row r="622" spans="2:28" ht="15.75" customHeight="1">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c r="AB622" s="6"/>
    </row>
    <row r="623" spans="2:28" ht="15.75" customHeight="1">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c r="AB623" s="6"/>
    </row>
    <row r="624" spans="2:28" ht="15.75" customHeight="1">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c r="AB624" s="6"/>
    </row>
    <row r="625" spans="2:28" ht="15.75" customHeight="1">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row>
    <row r="626" spans="2:28" ht="15.75" customHeight="1">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c r="AB626" s="6"/>
    </row>
    <row r="627" spans="2:28" ht="15.75" customHeight="1">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row>
    <row r="628" spans="2:28" ht="15.75" customHeight="1">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c r="AB628" s="6"/>
    </row>
    <row r="629" spans="2:28" ht="15.75" customHeight="1">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c r="AB629" s="6"/>
    </row>
    <row r="630" spans="2:28" ht="15.75" customHeight="1">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row>
    <row r="631" spans="2:28" ht="15.75" customHeight="1">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c r="AB631" s="6"/>
    </row>
    <row r="632" spans="2:28" ht="15.75" customHeight="1">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row>
    <row r="633" spans="2:28" ht="15.75" customHeight="1">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row>
    <row r="634" spans="2:28" ht="15.75" customHeight="1">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c r="AB634" s="6"/>
    </row>
    <row r="635" spans="2:28" ht="15.75" customHeight="1">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row>
    <row r="636" spans="2:28" ht="15.75" customHeight="1">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c r="AB636" s="6"/>
    </row>
    <row r="637" spans="2:28" ht="15.75" customHeight="1">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row>
    <row r="638" spans="2:28" ht="15.75" customHeight="1">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c r="AB638" s="6"/>
    </row>
    <row r="639" spans="2:28" ht="15.75" customHeight="1">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c r="AB639" s="6"/>
    </row>
    <row r="640" spans="2:28" ht="15.75" customHeight="1">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c r="AB640" s="6"/>
    </row>
    <row r="641" spans="2:28" ht="15.75" customHeight="1">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c r="AB641" s="6"/>
    </row>
    <row r="642" spans="2:28" ht="15.75" customHeight="1">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c r="AB642" s="6"/>
    </row>
    <row r="643" spans="2:28" ht="15.75" customHeight="1">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c r="AB643" s="6"/>
    </row>
    <row r="644" spans="2:28" ht="15.75" customHeight="1">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c r="AB644" s="6"/>
    </row>
    <row r="645" spans="2:28" ht="15.75" customHeight="1">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c r="AB645" s="6"/>
    </row>
    <row r="646" spans="2:28" ht="15.75" customHeight="1">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c r="AB646" s="6"/>
    </row>
    <row r="647" spans="2:28" ht="15.75" customHeight="1">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c r="AB647" s="6"/>
    </row>
    <row r="648" spans="2:28" ht="15.75" customHeight="1">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c r="AB648" s="6"/>
    </row>
    <row r="649" spans="2:28" ht="15.75" customHeight="1">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c r="AB649" s="6"/>
    </row>
    <row r="650" spans="2:28" ht="15.75" customHeight="1">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c r="AB650" s="6"/>
    </row>
    <row r="651" spans="2:28" ht="15.75" customHeight="1">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c r="AB651" s="6"/>
    </row>
    <row r="652" spans="2:28" ht="15.75" customHeight="1">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c r="AB652" s="6"/>
    </row>
    <row r="653" spans="2:28" ht="15.75" customHeight="1">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c r="AB653" s="6"/>
    </row>
    <row r="654" spans="2:28" ht="15.75" customHeight="1">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c r="AB654" s="6"/>
    </row>
    <row r="655" spans="2:28" ht="15.75" customHeight="1">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c r="AB655" s="6"/>
    </row>
    <row r="656" spans="2:28" ht="15.75" customHeight="1">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c r="AB656" s="6"/>
    </row>
    <row r="657" spans="2:28" ht="15.75" customHeight="1">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c r="AB657" s="6"/>
    </row>
    <row r="658" spans="2:28" ht="15.75" customHeight="1">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c r="AB658" s="6"/>
    </row>
    <row r="659" spans="2:28" ht="15.75" customHeight="1">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c r="AB659" s="6"/>
    </row>
    <row r="660" spans="2:28" ht="15.75" customHeight="1">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c r="AB660" s="6"/>
    </row>
    <row r="661" spans="2:28" ht="15.75" customHeight="1">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c r="AB661" s="6"/>
    </row>
    <row r="662" spans="2:28" ht="15.75" customHeight="1">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c r="AB662" s="6"/>
    </row>
    <row r="663" spans="2:28" ht="15.75" customHeight="1">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c r="AB663" s="6"/>
    </row>
    <row r="664" spans="2:28" ht="15.75" customHeight="1">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c r="AB664" s="6"/>
    </row>
    <row r="665" spans="2:28" ht="15.75" customHeight="1">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c r="AB665" s="6"/>
    </row>
    <row r="666" spans="2:28" ht="15.75" customHeight="1">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c r="AB666" s="6"/>
    </row>
    <row r="667" spans="2:28" ht="15.75" customHeight="1">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c r="AB667" s="6"/>
    </row>
    <row r="668" spans="2:28" ht="15.75" customHeight="1">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c r="AB668" s="6"/>
    </row>
    <row r="669" spans="2:28" ht="15.75" customHeight="1">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c r="AB669" s="6"/>
    </row>
    <row r="670" spans="2:28" ht="15.75" customHeight="1">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c r="AB670" s="6"/>
    </row>
    <row r="671" spans="2:28" ht="15.75" customHeight="1">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c r="AB671" s="6"/>
    </row>
    <row r="672" spans="2:28" ht="15.75" customHeight="1">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c r="AB672" s="6"/>
    </row>
    <row r="673" spans="2:28" ht="15.75" customHeight="1">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c r="AB673" s="6"/>
    </row>
    <row r="674" spans="2:28" ht="15.75" customHeight="1">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c r="AB674" s="6"/>
    </row>
    <row r="675" spans="2:28" ht="15.75" customHeight="1">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c r="AB675" s="6"/>
    </row>
    <row r="676" spans="2:28" ht="15.75" customHeight="1">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c r="AB676" s="6"/>
    </row>
    <row r="677" spans="2:28" ht="15.75" customHeight="1">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c r="AB677" s="6"/>
    </row>
    <row r="678" spans="2:28" ht="15.75" customHeight="1">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c r="AB678" s="6"/>
    </row>
    <row r="679" spans="2:28" ht="15.75" customHeight="1">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c r="AB679" s="6"/>
    </row>
    <row r="680" spans="2:28" ht="15.75" customHeight="1">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c r="AB680" s="6"/>
    </row>
    <row r="681" spans="2:28" ht="15.75" customHeight="1">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c r="AB681" s="6"/>
    </row>
    <row r="682" spans="2:28" ht="15.75" customHeight="1">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c r="AB682" s="6"/>
    </row>
    <row r="683" spans="2:28" ht="15.75" customHeight="1">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c r="AB683" s="6"/>
    </row>
    <row r="684" spans="2:28" ht="15.75" customHeight="1">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c r="AB684" s="6"/>
    </row>
    <row r="685" spans="2:28" ht="15.75" customHeight="1">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c r="AB685" s="6"/>
    </row>
    <row r="686" spans="2:28" ht="15.75" customHeight="1">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c r="AB686" s="6"/>
    </row>
    <row r="687" spans="2:28" ht="15.75" customHeight="1">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c r="AB687" s="6"/>
    </row>
    <row r="688" spans="2:28" ht="15.75" customHeight="1">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c r="AB688" s="6"/>
    </row>
    <row r="689" spans="2:28" ht="15.75" customHeight="1">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c r="AB689" s="6"/>
    </row>
    <row r="690" spans="2:28" ht="15.75" customHeight="1">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c r="AB690" s="6"/>
    </row>
    <row r="691" spans="2:28" ht="15.75" customHeight="1">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c r="AB691" s="6"/>
    </row>
    <row r="692" spans="2:28" ht="15.75" customHeight="1">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c r="AB692" s="6"/>
    </row>
    <row r="693" spans="2:28" ht="15.75" customHeight="1">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c r="AB693" s="6"/>
    </row>
    <row r="694" spans="2:28" ht="15.75" customHeight="1">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c r="AB694" s="6"/>
    </row>
    <row r="695" spans="2:28" ht="15.75" customHeight="1">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c r="AB695" s="6"/>
    </row>
    <row r="696" spans="2:28" ht="15.75" customHeight="1">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c r="AB696" s="6"/>
    </row>
    <row r="697" spans="2:28" ht="15.75" customHeight="1">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c r="AB697" s="6"/>
    </row>
    <row r="698" spans="2:28" ht="15.75" customHeight="1">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c r="AB698" s="6"/>
    </row>
    <row r="699" spans="2:28" ht="15.75" customHeight="1">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c r="AB699" s="6"/>
    </row>
    <row r="700" spans="2:28" ht="15.75" customHeight="1">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c r="AB700" s="6"/>
    </row>
    <row r="701" spans="2:28" ht="15.75" customHeight="1">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c r="AB701" s="6"/>
    </row>
    <row r="702" spans="2:28" ht="15.75" customHeight="1">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c r="AB702" s="6"/>
    </row>
    <row r="703" spans="2:28" ht="15.75" customHeight="1">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c r="AB703" s="6"/>
    </row>
    <row r="704" spans="2:28" ht="15.75" customHeight="1">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c r="AB704" s="6"/>
    </row>
    <row r="705" spans="2:28" ht="15.75" customHeight="1">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c r="AB705" s="6"/>
    </row>
    <row r="706" spans="2:28" ht="15.75" customHeight="1">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c r="AB706" s="6"/>
    </row>
    <row r="707" spans="2:28" ht="15.75" customHeight="1">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c r="AB707" s="6"/>
    </row>
    <row r="708" spans="2:28" ht="15.75" customHeight="1">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c r="AB708" s="6"/>
    </row>
    <row r="709" spans="2:28" ht="15.75" customHeight="1">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row>
    <row r="710" spans="2:28" ht="15.75" customHeight="1">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c r="AB710" s="6"/>
    </row>
    <row r="711" spans="2:28" ht="15.75" customHeight="1">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c r="AB711" s="6"/>
    </row>
    <row r="712" spans="2:28" ht="15.75" customHeight="1">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c r="AB712" s="6"/>
    </row>
    <row r="713" spans="2:28" ht="15.75" customHeight="1">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c r="AB713" s="6"/>
    </row>
    <row r="714" spans="2:28" ht="15.75" customHeight="1">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c r="AB714" s="6"/>
    </row>
    <row r="715" spans="2:28" ht="15.75" customHeight="1">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c r="AB715" s="6"/>
    </row>
    <row r="716" spans="2:28" ht="15.75" customHeight="1">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row>
    <row r="717" spans="2:28" ht="15.75" customHeight="1">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row>
    <row r="718" spans="2:28" ht="15.75" customHeight="1">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row>
    <row r="719" spans="2:28" ht="15.75" customHeight="1">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row>
    <row r="720" spans="2:28" ht="15.75" customHeight="1">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row>
    <row r="721" spans="2:28" ht="15.75" customHeight="1">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c r="AB721" s="6"/>
    </row>
    <row r="722" spans="2:28" ht="15.75" customHeight="1">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c r="AB722" s="6"/>
    </row>
    <row r="723" spans="2:28" ht="15.75" customHeight="1">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c r="AB723" s="6"/>
    </row>
    <row r="724" spans="2:28" ht="15.75" customHeight="1">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c r="AB724" s="6"/>
    </row>
    <row r="725" spans="2:28" ht="15.75" customHeight="1">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c r="AB725" s="6"/>
    </row>
    <row r="726" spans="2:28" ht="15.75" customHeight="1">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c r="AB726" s="6"/>
    </row>
    <row r="727" spans="2:28" ht="15.75" customHeight="1">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c r="AB727" s="6"/>
    </row>
    <row r="728" spans="2:28" ht="15.75" customHeight="1">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c r="AB728" s="6"/>
    </row>
    <row r="729" spans="2:28" ht="15.75" customHeight="1">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c r="AB729" s="6"/>
    </row>
    <row r="730" spans="2:28" ht="15.75" customHeight="1">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c r="AB730" s="6"/>
    </row>
    <row r="731" spans="2:28" ht="15.75" customHeight="1">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c r="AB731" s="6"/>
    </row>
    <row r="732" spans="2:28" ht="15.75" customHeight="1">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c r="AB732" s="6"/>
    </row>
    <row r="733" spans="2:28" ht="15.75" customHeight="1">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c r="AB733" s="6"/>
    </row>
    <row r="734" spans="2:28" ht="15.75" customHeight="1">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c r="AB734" s="6"/>
    </row>
    <row r="735" spans="2:28" ht="15.75" customHeight="1">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c r="AB735" s="6"/>
    </row>
    <row r="736" spans="2:28" ht="15.75" customHeight="1">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c r="AB736" s="6"/>
    </row>
    <row r="737" spans="2:28" ht="15.75" customHeight="1">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c r="AB737" s="6"/>
    </row>
    <row r="738" spans="2:28" ht="15.75" customHeight="1">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c r="AB738" s="6"/>
    </row>
    <row r="739" spans="2:28" ht="15.75" customHeight="1">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c r="AB739" s="6"/>
    </row>
    <row r="740" spans="2:28" ht="15.75" customHeight="1">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c r="AB740" s="6"/>
    </row>
    <row r="741" spans="2:28" ht="15.75" customHeight="1">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c r="AB741" s="6"/>
    </row>
    <row r="742" spans="2:28" ht="15.75" customHeight="1">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c r="AB742" s="6"/>
    </row>
    <row r="743" spans="2:28" ht="15.75" customHeight="1">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c r="AB743" s="6"/>
    </row>
    <row r="744" spans="2:28" ht="15.75" customHeight="1">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c r="AB744" s="6"/>
    </row>
    <row r="745" spans="2:28" ht="15.75" customHeight="1">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c r="AB745" s="6"/>
    </row>
    <row r="746" spans="2:28" ht="15.75" customHeight="1">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c r="AB746" s="6"/>
    </row>
    <row r="747" spans="2:28" ht="15.75" customHeight="1">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c r="AB747" s="6"/>
    </row>
    <row r="748" spans="2:28" ht="15.75" customHeight="1">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c r="AB748" s="6"/>
    </row>
    <row r="749" spans="2:28" ht="15.75" customHeight="1">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c r="AB749" s="6"/>
    </row>
    <row r="750" spans="2:28" ht="15.75" customHeight="1">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c r="AB750" s="6"/>
    </row>
    <row r="751" spans="2:28" ht="15.75" customHeight="1">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c r="AB751" s="6"/>
    </row>
    <row r="752" spans="2:28" ht="15.75" customHeight="1">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c r="AB752" s="6"/>
    </row>
    <row r="753" spans="2:28" ht="15.75" customHeight="1">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c r="AB753" s="6"/>
    </row>
    <row r="754" spans="2:28" ht="15.75" customHeight="1">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c r="AB754" s="6"/>
    </row>
    <row r="755" spans="2:28" ht="15.75" customHeight="1">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c r="AB755" s="6"/>
    </row>
    <row r="756" spans="2:28" ht="15.75" customHeight="1">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c r="AB756" s="6"/>
    </row>
    <row r="757" spans="2:28" ht="15.75" customHeight="1">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c r="AB757" s="6"/>
    </row>
    <row r="758" spans="2:28" ht="15.75" customHeight="1">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c r="AB758" s="6"/>
    </row>
    <row r="759" spans="2:28" ht="15.75" customHeight="1">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c r="AB759" s="6"/>
    </row>
    <row r="760" spans="2:28" ht="15.75" customHeight="1">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c r="AB760" s="6"/>
    </row>
    <row r="761" spans="2:28" ht="15.75" customHeight="1">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c r="AB761" s="6"/>
    </row>
    <row r="762" spans="2:28" ht="15.75" customHeight="1">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c r="AB762" s="6"/>
    </row>
    <row r="763" spans="2:28" ht="15.75" customHeight="1">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c r="AB763" s="6"/>
    </row>
    <row r="764" spans="2:28" ht="15.75" customHeight="1">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c r="AB764" s="6"/>
    </row>
    <row r="765" spans="2:28" ht="15.75" customHeight="1">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c r="AB765" s="6"/>
    </row>
    <row r="766" spans="2:28" ht="15.75" customHeight="1">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c r="AB766" s="6"/>
    </row>
    <row r="767" spans="2:28" ht="15.75" customHeight="1">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c r="AB767" s="6"/>
    </row>
    <row r="768" spans="2:28" ht="15.75" customHeight="1">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c r="AB768" s="6"/>
    </row>
    <row r="769" spans="2:28" ht="15.75" customHeight="1">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c r="AB769" s="6"/>
    </row>
    <row r="770" spans="2:28" ht="15.75" customHeight="1">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c r="AB770" s="6"/>
    </row>
    <row r="771" spans="2:28" ht="15.75" customHeight="1">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c r="AB771" s="6"/>
    </row>
    <row r="772" spans="2:28" ht="15.75" customHeight="1">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c r="AB772" s="6"/>
    </row>
    <row r="773" spans="2:28" ht="15.75" customHeight="1">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c r="AB773" s="6"/>
    </row>
    <row r="774" spans="2:28" ht="15.75" customHeight="1">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c r="AB774" s="6"/>
    </row>
    <row r="775" spans="2:28" ht="15.75" customHeight="1">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c r="AB775" s="6"/>
    </row>
    <row r="776" spans="2:28" ht="15.75" customHeight="1">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c r="AB776" s="6"/>
    </row>
    <row r="777" spans="2:28" ht="15.75" customHeight="1">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c r="AB777" s="6"/>
    </row>
    <row r="778" spans="2:28" ht="15.75" customHeight="1">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c r="AB778" s="6"/>
    </row>
    <row r="779" spans="2:28" ht="15.75" customHeight="1">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c r="AB779" s="6"/>
    </row>
    <row r="780" spans="2:28" ht="15.75" customHeight="1">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c r="AB780" s="6"/>
    </row>
    <row r="781" spans="2:28" ht="15.75" customHeight="1">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c r="AB781" s="6"/>
    </row>
    <row r="782" spans="2:28" ht="15.75" customHeight="1">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c r="AB782" s="6"/>
    </row>
    <row r="783" spans="2:28" ht="15.75" customHeight="1">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c r="AB783" s="6"/>
    </row>
    <row r="784" spans="2:28" ht="15.75" customHeight="1">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c r="AB784" s="6"/>
    </row>
    <row r="785" spans="2:28" ht="15.75" customHeight="1">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c r="AB785" s="6"/>
    </row>
    <row r="786" spans="2:28" ht="15.75" customHeight="1">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c r="AB786" s="6"/>
    </row>
    <row r="787" spans="2:28" ht="15.75" customHeight="1">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c r="AB787" s="6"/>
    </row>
    <row r="788" spans="2:28" ht="15.75" customHeight="1">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c r="AB788" s="6"/>
    </row>
    <row r="789" spans="2:28" ht="15.75" customHeight="1">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c r="AB789" s="6"/>
    </row>
    <row r="790" spans="2:28" ht="15.75" customHeight="1">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c r="AB790" s="6"/>
    </row>
    <row r="791" spans="2:28" ht="15.75" customHeight="1">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c r="AB791" s="6"/>
    </row>
    <row r="792" spans="2:28" ht="15.75" customHeight="1">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c r="AB792" s="6"/>
    </row>
    <row r="793" spans="2:28" ht="15.75" customHeight="1">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c r="AB793" s="6"/>
    </row>
    <row r="794" spans="2:28" ht="15.75" customHeight="1">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c r="AB794" s="6"/>
    </row>
    <row r="795" spans="2:28" ht="15.75" customHeight="1">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c r="AB795" s="6"/>
    </row>
    <row r="796" spans="2:28" ht="15.75" customHeight="1">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c r="AB796" s="6"/>
    </row>
    <row r="797" spans="2:28" ht="15.75" customHeight="1">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c r="AB797" s="6"/>
    </row>
    <row r="798" spans="2:28" ht="15.75" customHeight="1">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c r="AB798" s="6"/>
    </row>
    <row r="799" spans="2:28" ht="15.75" customHeight="1">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c r="AB799" s="6"/>
    </row>
    <row r="800" spans="2:28" ht="15.75" customHeight="1">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c r="AB800" s="6"/>
    </row>
    <row r="801" spans="2:28" ht="15.75" customHeight="1">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c r="AB801" s="6"/>
    </row>
    <row r="802" spans="2:28" ht="15.75" customHeight="1">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c r="AB802" s="6"/>
    </row>
    <row r="803" spans="2:28" ht="15.75" customHeight="1">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c r="AB803" s="6"/>
    </row>
    <row r="804" spans="2:28" ht="15.75" customHeight="1">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c r="AB804" s="6"/>
    </row>
    <row r="805" spans="2:28" ht="15.75" customHeight="1">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c r="AB805" s="6"/>
    </row>
    <row r="806" spans="2:28" ht="15.75" customHeight="1">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c r="AB806" s="6"/>
    </row>
    <row r="807" spans="2:28" ht="15.75" customHeight="1">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c r="AB807" s="6"/>
    </row>
    <row r="808" spans="2:28" ht="15.75" customHeight="1">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c r="AB808" s="6"/>
    </row>
    <row r="809" spans="2:28" ht="15.75" customHeight="1">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c r="AB809" s="6"/>
    </row>
    <row r="810" spans="2:28" ht="15.75" customHeight="1">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c r="AB810" s="6"/>
    </row>
    <row r="811" spans="2:28" ht="15.75" customHeight="1">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c r="AB811" s="6"/>
    </row>
    <row r="812" spans="2:28" ht="15.75" customHeight="1">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c r="AB812" s="6"/>
    </row>
    <row r="813" spans="2:28" ht="15.75" customHeight="1">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c r="AB813" s="6"/>
    </row>
    <row r="814" spans="2:28" ht="15.75" customHeight="1">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c r="AB814" s="6"/>
    </row>
    <row r="815" spans="2:28" ht="15.75" customHeight="1">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c r="AB815" s="6"/>
    </row>
    <row r="816" spans="2:28" ht="15.75" customHeight="1">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c r="AB816" s="6"/>
    </row>
    <row r="817" spans="2:28" ht="15.75" customHeight="1">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c r="AB817" s="6"/>
    </row>
    <row r="818" spans="2:28" ht="15.75" customHeight="1">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c r="AB818" s="6"/>
    </row>
    <row r="819" spans="2:28" ht="15.75" customHeight="1">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c r="AB819" s="6"/>
    </row>
    <row r="820" spans="2:28" ht="15.75" customHeight="1">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c r="AB820" s="6"/>
    </row>
    <row r="821" spans="2:28" ht="15.75" customHeight="1">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c r="AB821" s="6"/>
    </row>
    <row r="822" spans="2:28" ht="15.75" customHeight="1">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c r="AB822" s="6"/>
    </row>
    <row r="823" spans="2:28" ht="15.75" customHeight="1">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c r="AB823" s="6"/>
    </row>
    <row r="824" spans="2:28" ht="15.75" customHeight="1">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c r="AB824" s="6"/>
    </row>
    <row r="825" spans="2:28" ht="15.75" customHeight="1">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c r="AB825" s="6"/>
    </row>
    <row r="826" spans="2:28" ht="15.75" customHeight="1">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c r="AB826" s="6"/>
    </row>
    <row r="827" spans="2:28" ht="15.75" customHeight="1">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c r="AB827" s="6"/>
    </row>
    <row r="828" spans="2:28" ht="15.75" customHeight="1">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c r="AB828" s="6"/>
    </row>
    <row r="829" spans="2:28" ht="15.75" customHeight="1">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c r="AB829" s="6"/>
    </row>
    <row r="830" spans="2:28" ht="15.75" customHeight="1">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c r="AB830" s="6"/>
    </row>
    <row r="831" spans="2:28" ht="15.75" customHeight="1">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c r="AB831" s="6"/>
    </row>
    <row r="832" spans="2:28" ht="15.75" customHeight="1">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c r="AB832" s="6"/>
    </row>
    <row r="833" spans="2:28" ht="15.75" customHeight="1">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c r="AB833" s="6"/>
    </row>
    <row r="834" spans="2:28" ht="15.75" customHeight="1">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c r="AB834" s="6"/>
    </row>
    <row r="835" spans="2:28" ht="15.75" customHeight="1">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c r="AB835" s="6"/>
    </row>
    <row r="836" spans="2:28" ht="15.75" customHeight="1">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c r="AB836" s="6"/>
    </row>
    <row r="837" spans="2:28" ht="15.75" customHeight="1">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c r="AB837" s="6"/>
    </row>
    <row r="838" spans="2:28" ht="15.75" customHeight="1">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c r="AB838" s="6"/>
    </row>
    <row r="839" spans="2:28" ht="15.75" customHeight="1">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c r="AB839" s="6"/>
    </row>
    <row r="840" spans="2:28" ht="15.75" customHeight="1">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c r="AB840" s="6"/>
    </row>
    <row r="841" spans="2:28" ht="15.75" customHeight="1">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c r="AB841" s="6"/>
    </row>
    <row r="842" spans="2:28" ht="15.75" customHeight="1">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c r="AB842" s="6"/>
    </row>
    <row r="843" spans="2:28" ht="15.75" customHeight="1">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c r="AB843" s="6"/>
    </row>
    <row r="844" spans="2:28" ht="15.75" customHeight="1">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c r="AB844" s="6"/>
    </row>
    <row r="845" spans="2:28" ht="15.75" customHeight="1">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c r="AB845" s="6"/>
    </row>
    <row r="846" spans="2:28" ht="15.75" customHeight="1">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c r="AB846" s="6"/>
    </row>
    <row r="847" spans="2:28" ht="15.75" customHeight="1">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c r="AB847" s="6"/>
    </row>
    <row r="848" spans="2:28" ht="15.75" customHeight="1">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c r="AB848" s="6"/>
    </row>
    <row r="849" spans="2:28" ht="15.75" customHeight="1">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c r="AB849" s="6"/>
    </row>
    <row r="850" spans="2:28" ht="15.75" customHeight="1">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c r="AB850" s="6"/>
    </row>
    <row r="851" spans="2:28" ht="15.75" customHeight="1">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c r="AB851" s="6"/>
    </row>
    <row r="852" spans="2:28" ht="15.75" customHeight="1">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c r="AB852" s="6"/>
    </row>
    <row r="853" spans="2:28" ht="15.75" customHeight="1">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c r="AB853" s="6"/>
    </row>
    <row r="854" spans="2:28" ht="15.75" customHeight="1">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c r="AB854" s="6"/>
    </row>
    <row r="855" spans="2:28" ht="15.75" customHeight="1">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c r="AB855" s="6"/>
    </row>
    <row r="856" spans="2:28" ht="15.75" customHeight="1">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c r="AB856" s="6"/>
    </row>
    <row r="857" spans="2:28" ht="15.75" customHeight="1">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c r="AB857" s="6"/>
    </row>
    <row r="858" spans="2:28" ht="15.75" customHeight="1">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c r="AB858" s="6"/>
    </row>
    <row r="859" spans="2:28" ht="15.75" customHeight="1">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c r="AB859" s="6"/>
    </row>
    <row r="860" spans="2:28" ht="15.75" customHeight="1">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c r="AB860" s="6"/>
    </row>
    <row r="861" spans="2:28" ht="15.75" customHeight="1">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c r="AB861" s="6"/>
    </row>
    <row r="862" spans="2:28" ht="15.75" customHeight="1">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c r="AB862" s="6"/>
    </row>
    <row r="863" spans="2:28" ht="15.75" customHeight="1">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c r="AB863" s="6"/>
    </row>
    <row r="864" spans="2:28" ht="15.75" customHeight="1">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c r="AB864" s="6"/>
    </row>
    <row r="865" spans="2:28" ht="15.75" customHeight="1">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c r="AB865" s="6"/>
    </row>
    <row r="866" spans="2:28" ht="15.75" customHeight="1">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c r="AB866" s="6"/>
    </row>
    <row r="867" spans="2:28" ht="15.75" customHeight="1">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c r="AB867" s="6"/>
    </row>
    <row r="868" spans="2:28" ht="15.75" customHeight="1">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c r="AB868" s="6"/>
    </row>
    <row r="869" spans="2:28" ht="15.75" customHeight="1">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c r="AB869" s="6"/>
    </row>
    <row r="870" spans="2:28" ht="15.75" customHeight="1">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c r="AB870" s="6"/>
    </row>
    <row r="871" spans="2:28" ht="15.75" customHeight="1">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c r="AB871" s="6"/>
    </row>
    <row r="872" spans="2:28" ht="15.75" customHeight="1">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c r="AB872" s="6"/>
    </row>
    <row r="873" spans="2:28" ht="15.75" customHeight="1">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c r="AB873" s="6"/>
    </row>
    <row r="874" spans="2:28" ht="15.75" customHeight="1">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c r="AB874" s="6"/>
    </row>
    <row r="875" spans="2:28" ht="15.75" customHeight="1">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c r="AB875" s="6"/>
    </row>
    <row r="876" spans="2:28" ht="15.75" customHeight="1">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c r="AB876" s="6"/>
    </row>
    <row r="877" spans="2:28" ht="15.75" customHeight="1">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c r="AB877" s="6"/>
    </row>
    <row r="878" spans="2:28" ht="15.75" customHeight="1">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c r="AB878" s="6"/>
    </row>
    <row r="879" spans="2:28" ht="15.75" customHeight="1">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c r="AB879" s="6"/>
    </row>
    <row r="880" spans="2:28" ht="15.75" customHeight="1">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c r="AB880" s="6"/>
    </row>
    <row r="881" spans="2:28" ht="15.75" customHeight="1">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row>
    <row r="882" spans="2:28" ht="15.75" customHeight="1">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c r="AB882" s="6"/>
    </row>
    <row r="883" spans="2:28" ht="15.75" customHeight="1">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c r="AB883" s="6"/>
    </row>
    <row r="884" spans="2:28" ht="15.75" customHeight="1">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c r="AB884" s="6"/>
    </row>
    <row r="885" spans="2:28" ht="15.75" customHeight="1">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row>
    <row r="886" spans="2:28" ht="15.75" customHeight="1">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c r="AB886" s="6"/>
    </row>
    <row r="887" spans="2:28" ht="15.75" customHeight="1">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c r="AB887" s="6"/>
    </row>
    <row r="888" spans="2:28" ht="15.75" customHeight="1">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c r="AB888" s="6"/>
    </row>
    <row r="889" spans="2:28" ht="15.75" customHeight="1">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row>
    <row r="890" spans="2:28" ht="15.75" customHeight="1">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row>
    <row r="891" spans="2:28" ht="15.75" customHeight="1">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row>
    <row r="892" spans="2:28" ht="15.75" customHeight="1">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row>
    <row r="893" spans="2:28" ht="15.75" customHeight="1">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row>
    <row r="894" spans="2:28" ht="15.75" customHeight="1">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row>
    <row r="895" spans="2:28" ht="15.75" customHeight="1">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row>
    <row r="896" spans="2:28" ht="15.75" customHeight="1">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row>
    <row r="897" spans="2:28" ht="15.75" customHeight="1">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c r="AB897" s="6"/>
    </row>
    <row r="898" spans="2:28" ht="15.75" customHeight="1">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c r="AB898" s="6"/>
    </row>
    <row r="899" spans="2:28" ht="15.75" customHeight="1">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c r="AB899" s="6"/>
    </row>
    <row r="900" spans="2:28" ht="15.75" customHeight="1">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c r="AB900" s="6"/>
    </row>
    <row r="901" spans="2:28" ht="15.75" customHeight="1">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c r="AB901" s="6"/>
    </row>
    <row r="902" spans="2:28" ht="15.75" customHeight="1">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c r="AB902" s="6"/>
    </row>
    <row r="903" spans="2:28" ht="15.75" customHeight="1">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c r="AB903" s="6"/>
    </row>
    <row r="904" spans="2:28" ht="15.75" customHeight="1">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c r="AB904" s="6"/>
    </row>
    <row r="905" spans="2:28" ht="15.75" customHeight="1">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c r="AB905" s="6"/>
    </row>
    <row r="906" spans="2:28" ht="15.75" customHeight="1">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c r="AB906" s="6"/>
    </row>
    <row r="907" spans="2:28" ht="15.75" customHeight="1">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c r="AB907" s="6"/>
    </row>
    <row r="908" spans="2:28" ht="15.75" customHeight="1">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c r="AB908" s="6"/>
    </row>
    <row r="909" spans="2:28" ht="15.75" customHeight="1">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c r="AB909" s="6"/>
    </row>
    <row r="910" spans="2:28" ht="15.75" customHeight="1">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c r="AB910" s="6"/>
    </row>
    <row r="911" spans="2:28" ht="15.75" customHeight="1">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c r="AB911" s="6"/>
    </row>
    <row r="912" spans="2:28" ht="15.75" customHeight="1">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c r="AB912" s="6"/>
    </row>
    <row r="913" spans="2:28" ht="15.75" customHeight="1">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c r="AB913" s="6"/>
    </row>
    <row r="914" spans="2:28" ht="15.75" customHeight="1">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c r="AB914" s="6"/>
    </row>
    <row r="915" spans="2:28" ht="15.75" customHeight="1">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c r="AB915" s="6"/>
    </row>
    <row r="916" spans="2:28" ht="15.75" customHeight="1">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c r="AB916" s="6"/>
    </row>
    <row r="917" spans="2:28" ht="15.75" customHeight="1">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c r="AB917" s="6"/>
    </row>
    <row r="918" spans="2:28" ht="15.75" customHeight="1">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c r="AB918" s="6"/>
    </row>
    <row r="919" spans="2:28" ht="15.75" customHeight="1">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c r="AB919" s="6"/>
    </row>
    <row r="920" spans="2:28" ht="15.75" customHeight="1">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c r="AB920" s="6"/>
    </row>
    <row r="921" spans="2:28" ht="15.75" customHeight="1">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c r="AB921" s="6"/>
    </row>
    <row r="922" spans="2:28" ht="15.75" customHeight="1">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c r="AB922" s="6"/>
    </row>
    <row r="923" spans="2:28" ht="15.75" customHeight="1">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c r="AB923" s="6"/>
    </row>
    <row r="924" spans="2:28" ht="15.75" customHeight="1">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c r="AB924" s="6"/>
    </row>
    <row r="925" spans="2:28" ht="15.75" customHeight="1">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c r="AB925" s="6"/>
    </row>
    <row r="926" spans="2:28" ht="15.75" customHeight="1">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c r="AB926" s="6"/>
    </row>
    <row r="927" spans="2:28" ht="15.75" customHeight="1">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c r="AB927" s="6"/>
    </row>
    <row r="928" spans="2:28" ht="15.75" customHeight="1">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c r="AB928" s="6"/>
    </row>
    <row r="929" spans="2:28" ht="15.75" customHeight="1">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c r="AB929" s="6"/>
    </row>
    <row r="930" spans="2:28" ht="15.75" customHeight="1">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c r="AB930" s="6"/>
    </row>
    <row r="931" spans="2:28" ht="15.75" customHeight="1">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c r="AB931" s="6"/>
    </row>
    <row r="932" spans="2:28" ht="15.75" customHeight="1">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c r="AB932" s="6"/>
    </row>
    <row r="933" spans="2:28" ht="15.75" customHeight="1">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c r="AB933" s="6"/>
    </row>
    <row r="934" spans="2:28" ht="15.75" customHeight="1">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c r="AB934" s="6"/>
    </row>
    <row r="935" spans="2:28" ht="15.75" customHeight="1">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c r="AB935" s="6"/>
    </row>
    <row r="936" spans="2:28" ht="15.75" customHeight="1">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c r="AB936" s="6"/>
    </row>
    <row r="937" spans="2:28" ht="15.75" customHeight="1">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c r="AB937" s="6"/>
    </row>
    <row r="938" spans="2:28" ht="15.75" customHeight="1">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c r="AB938" s="6"/>
    </row>
    <row r="939" spans="2:28" ht="15.75" customHeight="1">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c r="AB939" s="6"/>
    </row>
    <row r="940" spans="2:28" ht="15.75" customHeight="1">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c r="AB940" s="6"/>
    </row>
    <row r="941" spans="2:28" ht="15.75" customHeight="1">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c r="AB941" s="6"/>
    </row>
    <row r="942" spans="2:28" ht="15.75" customHeight="1">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c r="AB942" s="6"/>
    </row>
    <row r="943" spans="2:28" ht="15.75" customHeight="1">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c r="AB943" s="6"/>
    </row>
    <row r="944" spans="2:28" ht="15.75" customHeight="1">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c r="AB944" s="6"/>
    </row>
    <row r="945" spans="2:28" ht="15.75" customHeight="1">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c r="AB945" s="6"/>
    </row>
    <row r="946" spans="2:28" ht="15.75" customHeight="1">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c r="AB946" s="6"/>
    </row>
    <row r="947" spans="2:28" ht="15.75" customHeight="1">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c r="AB947" s="6"/>
    </row>
    <row r="948" spans="2:28" ht="15.75" customHeight="1">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c r="AB948" s="6"/>
    </row>
    <row r="949" spans="2:28" ht="15.75" customHeight="1">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c r="AB949" s="6"/>
    </row>
    <row r="950" spans="2:28" ht="15.75" customHeight="1">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c r="AB950" s="6"/>
    </row>
    <row r="951" spans="2:28" ht="15.75" customHeight="1">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c r="AB951" s="6"/>
    </row>
    <row r="952" spans="2:28" ht="15.75" customHeight="1">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c r="AB952" s="6"/>
    </row>
    <row r="953" spans="2:28" ht="15.75" customHeight="1">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c r="AB953" s="6"/>
    </row>
    <row r="954" spans="2:28" ht="15.75" customHeight="1">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c r="AB954" s="6"/>
    </row>
    <row r="955" spans="2:28" ht="15.75" customHeight="1">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c r="AB955" s="6"/>
    </row>
    <row r="956" spans="2:28" ht="15.75" customHeight="1">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c r="AB956" s="6"/>
    </row>
    <row r="957" spans="2:28" ht="15.75" customHeight="1">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c r="AB957" s="6"/>
    </row>
    <row r="958" spans="2:28" ht="15.75" customHeight="1">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c r="AB958" s="6"/>
    </row>
    <row r="959" spans="2:28" ht="15.75" customHeight="1">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c r="AB959" s="6"/>
    </row>
    <row r="960" spans="2:28" ht="15.75" customHeight="1">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c r="AB960" s="6"/>
    </row>
    <row r="961" spans="2:28" ht="15.75" customHeight="1">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c r="AB961" s="6"/>
    </row>
    <row r="962" spans="2:28" ht="15.75" customHeight="1">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c r="AB962" s="6"/>
    </row>
    <row r="963" spans="2:28" ht="15.75" customHeight="1">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c r="AB963" s="6"/>
    </row>
    <row r="964" spans="2:28" ht="15.75" customHeight="1">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c r="AB964" s="6"/>
    </row>
    <row r="965" spans="2:28" ht="15.75" customHeight="1">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c r="AB965" s="6"/>
    </row>
    <row r="966" spans="2:28" ht="15.75" customHeight="1">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c r="AB966" s="6"/>
    </row>
    <row r="967" spans="2:28" ht="15.75" customHeight="1">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c r="AB967" s="6"/>
    </row>
    <row r="968" spans="2:28" ht="15.75" customHeight="1">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row>
    <row r="969" spans="2:28" ht="15.75" customHeight="1">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c r="AB969" s="6"/>
    </row>
    <row r="970" spans="2:28" ht="15.75" customHeight="1">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c r="AB970" s="6"/>
    </row>
    <row r="971" spans="2:28" ht="15.75" customHeight="1">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c r="AB971" s="6"/>
    </row>
    <row r="972" spans="2:28" ht="15.75" customHeight="1">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c r="AB972" s="6"/>
    </row>
    <row r="973" spans="2:28" ht="15.75" customHeight="1">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c r="AB973" s="6"/>
    </row>
    <row r="974" spans="2:28" ht="15.75" customHeight="1">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c r="AB974" s="6"/>
    </row>
    <row r="975" spans="2:28" ht="15.75" customHeight="1">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row>
    <row r="976" spans="2:28" ht="15.75" customHeight="1">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row>
    <row r="977" spans="2:28" ht="15.75" customHeight="1">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c r="AB977" s="6"/>
    </row>
    <row r="978" spans="2:28" ht="15.75" customHeight="1">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c r="AB978" s="6"/>
    </row>
    <row r="979" spans="2:28" ht="15.75" customHeight="1">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c r="AB979" s="6"/>
    </row>
    <row r="980" spans="2:28" ht="15.75" customHeight="1">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c r="AB980" s="6"/>
    </row>
    <row r="981" spans="2:28" ht="15.75" customHeight="1">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c r="AB981" s="6"/>
    </row>
    <row r="982" spans="2:28" ht="15.75" customHeight="1">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c r="AB982" s="6"/>
    </row>
    <row r="983" spans="2:28" ht="15.75" customHeight="1">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c r="AB983" s="6"/>
    </row>
    <row r="984" spans="2:28" ht="15.75" customHeight="1">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c r="AB984" s="6"/>
    </row>
    <row r="985" spans="2:28" ht="15.75" customHeight="1">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c r="AB985" s="6"/>
    </row>
    <row r="986" spans="2:28" ht="15.75" customHeight="1">
      <c r="B986" s="6"/>
      <c r="C986" s="6"/>
      <c r="D986" s="6"/>
      <c r="E986" s="6"/>
      <c r="F986" s="6"/>
      <c r="G986" s="6"/>
      <c r="H986" s="6"/>
      <c r="I986" s="6"/>
      <c r="J986" s="6"/>
      <c r="K986" s="6"/>
      <c r="L986" s="6"/>
      <c r="M986" s="6"/>
      <c r="N986" s="6"/>
      <c r="O986" s="6"/>
      <c r="P986" s="6"/>
      <c r="Q986" s="6"/>
      <c r="R986" s="6"/>
      <c r="S986" s="6"/>
      <c r="T986" s="6"/>
      <c r="U986" s="6"/>
      <c r="V986" s="6"/>
      <c r="W986" s="6"/>
      <c r="X986" s="6"/>
      <c r="Y986" s="6"/>
      <c r="Z986" s="6"/>
      <c r="AA986" s="6"/>
      <c r="AB986" s="6"/>
    </row>
    <row r="987" spans="2:28" ht="15.75" customHeight="1">
      <c r="B987" s="6"/>
      <c r="C987" s="6"/>
      <c r="D987" s="6"/>
      <c r="E987" s="6"/>
      <c r="F987" s="6"/>
      <c r="G987" s="6"/>
      <c r="H987" s="6"/>
      <c r="I987" s="6"/>
      <c r="J987" s="6"/>
      <c r="K987" s="6"/>
      <c r="L987" s="6"/>
      <c r="M987" s="6"/>
      <c r="N987" s="6"/>
      <c r="O987" s="6"/>
      <c r="P987" s="6"/>
      <c r="Q987" s="6"/>
      <c r="R987" s="6"/>
      <c r="S987" s="6"/>
      <c r="T987" s="6"/>
      <c r="U987" s="6"/>
      <c r="V987" s="6"/>
      <c r="W987" s="6"/>
      <c r="X987" s="6"/>
      <c r="Y987" s="6"/>
      <c r="Z987" s="6"/>
      <c r="AA987" s="6"/>
      <c r="AB987" s="6"/>
    </row>
    <row r="988" spans="2:28" ht="15.75" customHeight="1">
      <c r="B988" s="6"/>
      <c r="C988" s="6"/>
      <c r="D988" s="6"/>
      <c r="E988" s="6"/>
      <c r="F988" s="6"/>
      <c r="G988" s="6"/>
      <c r="H988" s="6"/>
      <c r="I988" s="6"/>
      <c r="J988" s="6"/>
      <c r="K988" s="6"/>
      <c r="L988" s="6"/>
      <c r="M988" s="6"/>
      <c r="N988" s="6"/>
      <c r="O988" s="6"/>
      <c r="P988" s="6"/>
      <c r="Q988" s="6"/>
      <c r="R988" s="6"/>
      <c r="S988" s="6"/>
      <c r="T988" s="6"/>
      <c r="U988" s="6"/>
      <c r="V988" s="6"/>
      <c r="W988" s="6"/>
      <c r="X988" s="6"/>
      <c r="Y988" s="6"/>
      <c r="Z988" s="6"/>
      <c r="AA988" s="6"/>
      <c r="AB988" s="6"/>
    </row>
    <row r="989" spans="2:28" ht="15.75" customHeight="1">
      <c r="B989" s="6"/>
      <c r="C989" s="6"/>
      <c r="D989" s="6"/>
      <c r="E989" s="6"/>
      <c r="F989" s="6"/>
      <c r="G989" s="6"/>
      <c r="H989" s="6"/>
      <c r="I989" s="6"/>
      <c r="J989" s="6"/>
      <c r="K989" s="6"/>
      <c r="L989" s="6"/>
      <c r="M989" s="6"/>
      <c r="N989" s="6"/>
      <c r="O989" s="6"/>
      <c r="P989" s="6"/>
      <c r="Q989" s="6"/>
      <c r="R989" s="6"/>
      <c r="S989" s="6"/>
      <c r="T989" s="6"/>
      <c r="U989" s="6"/>
      <c r="V989" s="6"/>
      <c r="W989" s="6"/>
      <c r="X989" s="6"/>
      <c r="Y989" s="6"/>
      <c r="Z989" s="6"/>
      <c r="AA989" s="6"/>
      <c r="AB989" s="6"/>
    </row>
    <row r="990" spans="2:28" ht="15.75" customHeight="1">
      <c r="B990" s="6"/>
      <c r="C990" s="6"/>
      <c r="D990" s="6"/>
      <c r="E990" s="6"/>
      <c r="F990" s="6"/>
      <c r="G990" s="6"/>
      <c r="H990" s="6"/>
      <c r="I990" s="6"/>
      <c r="J990" s="6"/>
      <c r="K990" s="6"/>
      <c r="L990" s="6"/>
      <c r="M990" s="6"/>
      <c r="N990" s="6"/>
      <c r="O990" s="6"/>
      <c r="P990" s="6"/>
      <c r="Q990" s="6"/>
      <c r="R990" s="6"/>
      <c r="S990" s="6"/>
      <c r="T990" s="6"/>
      <c r="U990" s="6"/>
      <c r="V990" s="6"/>
      <c r="W990" s="6"/>
      <c r="X990" s="6"/>
      <c r="Y990" s="6"/>
      <c r="Z990" s="6"/>
      <c r="AA990" s="6"/>
      <c r="AB990" s="6"/>
    </row>
    <row r="991" spans="2:28" ht="15.75" customHeight="1">
      <c r="B991" s="6"/>
      <c r="C991" s="6"/>
      <c r="D991" s="6"/>
      <c r="E991" s="6"/>
      <c r="F991" s="6"/>
      <c r="G991" s="6"/>
      <c r="H991" s="6"/>
      <c r="I991" s="6"/>
      <c r="J991" s="6"/>
      <c r="K991" s="6"/>
      <c r="L991" s="6"/>
      <c r="M991" s="6"/>
      <c r="N991" s="6"/>
      <c r="O991" s="6"/>
      <c r="P991" s="6"/>
      <c r="Q991" s="6"/>
      <c r="R991" s="6"/>
      <c r="S991" s="6"/>
      <c r="T991" s="6"/>
      <c r="U991" s="6"/>
      <c r="V991" s="6"/>
      <c r="W991" s="6"/>
      <c r="X991" s="6"/>
      <c r="Y991" s="6"/>
      <c r="Z991" s="6"/>
      <c r="AA991" s="6"/>
      <c r="AB991" s="6"/>
    </row>
    <row r="992" spans="2:28" ht="15.75" customHeight="1">
      <c r="B992" s="6"/>
      <c r="C992" s="6"/>
      <c r="D992" s="6"/>
      <c r="E992" s="6"/>
      <c r="F992" s="6"/>
      <c r="G992" s="6"/>
      <c r="H992" s="6"/>
      <c r="I992" s="6"/>
      <c r="J992" s="6"/>
      <c r="K992" s="6"/>
      <c r="L992" s="6"/>
      <c r="M992" s="6"/>
      <c r="N992" s="6"/>
      <c r="O992" s="6"/>
      <c r="P992" s="6"/>
      <c r="Q992" s="6"/>
      <c r="R992" s="6"/>
      <c r="S992" s="6"/>
      <c r="T992" s="6"/>
      <c r="U992" s="6"/>
      <c r="V992" s="6"/>
      <c r="W992" s="6"/>
      <c r="X992" s="6"/>
      <c r="Y992" s="6"/>
      <c r="Z992" s="6"/>
      <c r="AA992" s="6"/>
      <c r="AB992" s="6"/>
    </row>
    <row r="993" spans="2:28" ht="15.75" customHeight="1">
      <c r="B993" s="6"/>
      <c r="C993" s="6"/>
      <c r="D993" s="6"/>
      <c r="E993" s="6"/>
      <c r="F993" s="6"/>
      <c r="G993" s="6"/>
      <c r="H993" s="6"/>
      <c r="I993" s="6"/>
      <c r="J993" s="6"/>
      <c r="K993" s="6"/>
      <c r="L993" s="6"/>
      <c r="M993" s="6"/>
      <c r="N993" s="6"/>
      <c r="O993" s="6"/>
      <c r="P993" s="6"/>
      <c r="Q993" s="6"/>
      <c r="R993" s="6"/>
      <c r="S993" s="6"/>
      <c r="T993" s="6"/>
      <c r="U993" s="6"/>
      <c r="V993" s="6"/>
      <c r="W993" s="6"/>
      <c r="X993" s="6"/>
      <c r="Y993" s="6"/>
      <c r="Z993" s="6"/>
      <c r="AA993" s="6"/>
      <c r="AB993" s="6"/>
    </row>
    <row r="994" spans="2:28" ht="15.75" customHeight="1">
      <c r="B994" s="6"/>
      <c r="C994" s="6"/>
      <c r="D994" s="6"/>
      <c r="E994" s="6"/>
      <c r="F994" s="6"/>
      <c r="G994" s="6"/>
      <c r="H994" s="6"/>
      <c r="I994" s="6"/>
      <c r="J994" s="6"/>
      <c r="K994" s="6"/>
      <c r="L994" s="6"/>
      <c r="M994" s="6"/>
      <c r="N994" s="6"/>
      <c r="O994" s="6"/>
      <c r="P994" s="6"/>
      <c r="Q994" s="6"/>
      <c r="R994" s="6"/>
      <c r="S994" s="6"/>
      <c r="T994" s="6"/>
      <c r="U994" s="6"/>
      <c r="V994" s="6"/>
      <c r="W994" s="6"/>
      <c r="X994" s="6"/>
      <c r="Y994" s="6"/>
      <c r="Z994" s="6"/>
      <c r="AA994" s="6"/>
      <c r="AB994" s="6"/>
    </row>
    <row r="995" spans="2:28" ht="15.75" customHeight="1">
      <c r="B995" s="6"/>
      <c r="C995" s="6"/>
      <c r="D995" s="6"/>
      <c r="E995" s="6"/>
      <c r="F995" s="6"/>
      <c r="G995" s="6"/>
      <c r="H995" s="6"/>
      <c r="I995" s="6"/>
      <c r="J995" s="6"/>
      <c r="K995" s="6"/>
      <c r="L995" s="6"/>
      <c r="M995" s="6"/>
      <c r="N995" s="6"/>
      <c r="O995" s="6"/>
      <c r="P995" s="6"/>
      <c r="Q995" s="6"/>
      <c r="R995" s="6"/>
      <c r="S995" s="6"/>
      <c r="T995" s="6"/>
      <c r="U995" s="6"/>
      <c r="V995" s="6"/>
      <c r="W995" s="6"/>
      <c r="X995" s="6"/>
      <c r="Y995" s="6"/>
      <c r="Z995" s="6"/>
      <c r="AA995" s="6"/>
      <c r="AB995" s="6"/>
    </row>
    <row r="996" spans="2:28" ht="15.75" customHeight="1">
      <c r="B996" s="6"/>
      <c r="C996" s="6"/>
      <c r="D996" s="6"/>
      <c r="E996" s="6"/>
      <c r="F996" s="6"/>
      <c r="G996" s="6"/>
      <c r="H996" s="6"/>
      <c r="I996" s="6"/>
      <c r="J996" s="6"/>
      <c r="K996" s="6"/>
      <c r="L996" s="6"/>
      <c r="M996" s="6"/>
      <c r="N996" s="6"/>
      <c r="O996" s="6"/>
      <c r="P996" s="6"/>
      <c r="Q996" s="6"/>
      <c r="R996" s="6"/>
      <c r="S996" s="6"/>
      <c r="T996" s="6"/>
      <c r="U996" s="6"/>
      <c r="V996" s="6"/>
      <c r="W996" s="6"/>
      <c r="X996" s="6"/>
      <c r="Y996" s="6"/>
      <c r="Z996" s="6"/>
      <c r="AA996" s="6"/>
      <c r="AB996" s="6"/>
    </row>
    <row r="997" spans="2:28" ht="15.75" customHeight="1">
      <c r="B997" s="6"/>
      <c r="C997" s="6"/>
      <c r="D997" s="6"/>
      <c r="E997" s="6"/>
      <c r="F997" s="6"/>
      <c r="G997" s="6"/>
      <c r="H997" s="6"/>
      <c r="I997" s="6"/>
      <c r="J997" s="6"/>
      <c r="K997" s="6"/>
      <c r="L997" s="6"/>
      <c r="M997" s="6"/>
      <c r="N997" s="6"/>
      <c r="O997" s="6"/>
      <c r="P997" s="6"/>
      <c r="Q997" s="6"/>
      <c r="R997" s="6"/>
      <c r="S997" s="6"/>
      <c r="T997" s="6"/>
      <c r="U997" s="6"/>
      <c r="V997" s="6"/>
      <c r="W997" s="6"/>
      <c r="X997" s="6"/>
      <c r="Y997" s="6"/>
      <c r="Z997" s="6"/>
      <c r="AA997" s="6"/>
      <c r="AB997" s="6"/>
    </row>
    <row r="998" spans="2:28" ht="15.75" customHeight="1">
      <c r="B998" s="6"/>
      <c r="C998" s="6"/>
      <c r="D998" s="6"/>
      <c r="E998" s="6"/>
      <c r="F998" s="6"/>
      <c r="G998" s="6"/>
      <c r="H998" s="6"/>
      <c r="I998" s="6"/>
      <c r="J998" s="6"/>
      <c r="K998" s="6"/>
      <c r="L998" s="6"/>
      <c r="M998" s="6"/>
      <c r="N998" s="6"/>
      <c r="O998" s="6"/>
      <c r="P998" s="6"/>
      <c r="Q998" s="6"/>
      <c r="R998" s="6"/>
      <c r="S998" s="6"/>
      <c r="T998" s="6"/>
      <c r="U998" s="6"/>
      <c r="V998" s="6"/>
      <c r="W998" s="6"/>
      <c r="X998" s="6"/>
      <c r="Y998" s="6"/>
      <c r="Z998" s="6"/>
      <c r="AA998" s="6"/>
      <c r="AB998" s="6"/>
    </row>
    <row r="999" spans="2:28" ht="15.75" customHeight="1">
      <c r="B999" s="6"/>
      <c r="C999" s="6"/>
      <c r="D999" s="6"/>
      <c r="E999" s="6"/>
      <c r="F999" s="6"/>
      <c r="G999" s="6"/>
      <c r="H999" s="6"/>
      <c r="I999" s="6"/>
      <c r="J999" s="6"/>
      <c r="K999" s="6"/>
      <c r="L999" s="6"/>
      <c r="M999" s="6"/>
      <c r="N999" s="6"/>
      <c r="O999" s="6"/>
      <c r="P999" s="6"/>
      <c r="Q999" s="6"/>
      <c r="R999" s="6"/>
      <c r="S999" s="6"/>
      <c r="T999" s="6"/>
      <c r="U999" s="6"/>
      <c r="V999" s="6"/>
      <c r="W999" s="6"/>
      <c r="X999" s="6"/>
      <c r="Y999" s="6"/>
      <c r="Z999" s="6"/>
      <c r="AA999" s="6"/>
      <c r="AB999" s="6"/>
    </row>
    <row r="1000" spans="2:28" ht="15.75" customHeight="1">
      <c r="B1000" s="6"/>
      <c r="C1000" s="6"/>
      <c r="D1000" s="6"/>
      <c r="E1000" s="6"/>
      <c r="F1000" s="6"/>
      <c r="G1000" s="6"/>
      <c r="H1000" s="6"/>
      <c r="I1000" s="6"/>
      <c r="J1000" s="6"/>
      <c r="K1000" s="6"/>
      <c r="L1000" s="6"/>
      <c r="M1000" s="6"/>
      <c r="N1000" s="6"/>
      <c r="O1000" s="6"/>
      <c r="P1000" s="6"/>
      <c r="Q1000" s="6"/>
      <c r="R1000" s="6"/>
      <c r="S1000" s="6"/>
      <c r="T1000" s="6"/>
      <c r="U1000" s="6"/>
      <c r="V1000" s="6"/>
      <c r="W1000" s="6"/>
      <c r="X1000" s="6"/>
      <c r="Y1000" s="6"/>
      <c r="Z1000" s="6"/>
      <c r="AA1000" s="6"/>
      <c r="AB1000" s="6"/>
    </row>
  </sheetData>
  <mergeCells count="6">
    <mergeCell ref="M21:M25"/>
    <mergeCell ref="M14:O14"/>
    <mergeCell ref="A1:K1"/>
    <mergeCell ref="P14:Q14"/>
    <mergeCell ref="R14:S14"/>
    <mergeCell ref="M16:M20"/>
  </mergeCells>
  <phoneticPr fontId="15" type="noConversion"/>
  <conditionalFormatting sqref="A3:K25 A26">
    <cfRule type="expression" dxfId="4" priority="6">
      <formula>$J3="CONSEGNATO A MANO"</formula>
    </cfRule>
  </conditionalFormatting>
  <conditionalFormatting sqref="A3:K26">
    <cfRule type="expression" dxfId="3" priority="7">
      <formula>$J3="ANNULLATO"</formula>
    </cfRule>
    <cfRule type="expression" dxfId="2" priority="8">
      <formula>$J3="DA RITIRARE"</formula>
    </cfRule>
    <cfRule type="expression" dxfId="1" priority="9">
      <formula>$J3="CONSEGNATO"</formula>
    </cfRule>
    <cfRule type="expression" dxfId="0" priority="10">
      <formula>$J3="DA CONSEGNARE"</formula>
    </cfRule>
  </conditionalFormatting>
  <pageMargins left="0.7" right="0.7" top="0.75" bottom="0.75" header="0" footer="0"/>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FFCFC-DBD4-45B7-9971-B093497730F8}">
  <dimension ref="A1:C13"/>
  <sheetViews>
    <sheetView workbookViewId="0">
      <selection activeCell="D5" sqref="D5"/>
    </sheetView>
  </sheetViews>
  <sheetFormatPr defaultRowHeight="15"/>
  <cols>
    <col min="1" max="1" width="18.5703125" bestFit="1" customWidth="1"/>
    <col min="2" max="4" width="17.28515625" bestFit="1" customWidth="1"/>
    <col min="5" max="5" width="10.5703125" bestFit="1" customWidth="1"/>
    <col min="6" max="6" width="14.28515625" bestFit="1" customWidth="1"/>
    <col min="7" max="7" width="11.28515625" bestFit="1" customWidth="1"/>
    <col min="8" max="8" width="9.28515625" bestFit="1" customWidth="1"/>
    <col min="9" max="9" width="10.5703125" bestFit="1" customWidth="1"/>
  </cols>
  <sheetData>
    <row r="1" spans="1:3">
      <c r="A1" s="85" t="s">
        <v>154</v>
      </c>
      <c r="B1" s="85" t="s">
        <v>155</v>
      </c>
      <c r="C1" s="85" t="s">
        <v>187</v>
      </c>
    </row>
    <row r="2" spans="1:3">
      <c r="A2" s="86" t="s">
        <v>156</v>
      </c>
      <c r="B2" s="86">
        <v>27.99</v>
      </c>
      <c r="C2" s="88">
        <v>1</v>
      </c>
    </row>
    <row r="3" spans="1:3">
      <c r="A3" s="86" t="s">
        <v>178</v>
      </c>
      <c r="B3" s="86">
        <v>27.99</v>
      </c>
      <c r="C3" s="88">
        <v>1</v>
      </c>
    </row>
    <row r="4" spans="1:3">
      <c r="A4" s="87" t="s">
        <v>179</v>
      </c>
      <c r="B4" s="86">
        <v>27.99</v>
      </c>
      <c r="C4" s="88">
        <v>1</v>
      </c>
    </row>
    <row r="5" spans="1:3">
      <c r="A5" s="87" t="s">
        <v>180</v>
      </c>
      <c r="B5" s="86">
        <v>32.99</v>
      </c>
      <c r="C5" s="89">
        <v>3</v>
      </c>
    </row>
    <row r="6" spans="1:3">
      <c r="A6" s="87" t="s">
        <v>181</v>
      </c>
      <c r="B6" s="86">
        <v>32.99</v>
      </c>
      <c r="C6" s="89">
        <v>3</v>
      </c>
    </row>
    <row r="7" spans="1:3">
      <c r="A7" s="87" t="s">
        <v>182</v>
      </c>
      <c r="B7" s="86">
        <v>27.99</v>
      </c>
      <c r="C7" s="88">
        <v>1</v>
      </c>
    </row>
    <row r="8" spans="1:3">
      <c r="A8" s="87" t="s">
        <v>183</v>
      </c>
      <c r="B8" s="86">
        <v>27.99</v>
      </c>
      <c r="C8" s="88">
        <v>1</v>
      </c>
    </row>
    <row r="9" spans="1:3">
      <c r="A9" s="87" t="s">
        <v>186</v>
      </c>
      <c r="B9" s="87">
        <v>29.99</v>
      </c>
      <c r="C9" s="90">
        <v>2</v>
      </c>
    </row>
    <row r="12" spans="1:3">
      <c r="A12" s="70" t="s">
        <v>184</v>
      </c>
    </row>
    <row r="13" spans="1:3">
      <c r="A13" s="70" t="s">
        <v>185</v>
      </c>
    </row>
  </sheetData>
  <phoneticPr fontId="1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609260-6E36-4620-A053-8B0FC32DF137}">
  <dimension ref="A1:E9"/>
  <sheetViews>
    <sheetView workbookViewId="0">
      <selection sqref="A1:E5"/>
    </sheetView>
  </sheetViews>
  <sheetFormatPr defaultRowHeight="15"/>
  <cols>
    <col min="1" max="1" width="19" customWidth="1"/>
    <col min="5" max="5" width="24.85546875" customWidth="1"/>
  </cols>
  <sheetData>
    <row r="1" spans="1:5">
      <c r="A1" s="184" t="s">
        <v>220</v>
      </c>
      <c r="B1" s="185"/>
      <c r="C1" s="185"/>
      <c r="D1" s="185"/>
      <c r="E1" s="185"/>
    </row>
    <row r="2" spans="1:5">
      <c r="A2" s="185"/>
      <c r="B2" s="185"/>
      <c r="C2" s="185"/>
      <c r="D2" s="185"/>
      <c r="E2" s="185"/>
    </row>
    <row r="3" spans="1:5">
      <c r="A3" s="185"/>
      <c r="B3" s="185"/>
      <c r="C3" s="185"/>
      <c r="D3" s="185"/>
      <c r="E3" s="185"/>
    </row>
    <row r="4" spans="1:5" ht="42" customHeight="1">
      <c r="A4" s="185"/>
      <c r="B4" s="185"/>
      <c r="C4" s="185"/>
      <c r="D4" s="185"/>
      <c r="E4" s="185"/>
    </row>
    <row r="5" spans="1:5" ht="120" customHeight="1">
      <c r="A5" s="185"/>
      <c r="B5" s="185"/>
      <c r="C5" s="185"/>
      <c r="D5" s="185"/>
      <c r="E5" s="185"/>
    </row>
    <row r="7" spans="1:5">
      <c r="A7" t="s">
        <v>221</v>
      </c>
    </row>
    <row r="8" spans="1:5">
      <c r="A8" t="s">
        <v>222</v>
      </c>
    </row>
    <row r="9" spans="1:5">
      <c r="A9" t="s">
        <v>223</v>
      </c>
    </row>
  </sheetData>
  <mergeCells count="1">
    <mergeCell ref="A1:E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40B8E-1E1B-4615-BB23-B73A212FDFDB}">
  <dimension ref="A1:N28"/>
  <sheetViews>
    <sheetView tabSelected="1" workbookViewId="0">
      <selection activeCell="T19" sqref="T19"/>
    </sheetView>
  </sheetViews>
  <sheetFormatPr defaultRowHeight="15"/>
  <cols>
    <col min="1" max="1" width="18.85546875" bestFit="1" customWidth="1"/>
    <col min="2" max="2" width="6" bestFit="1" customWidth="1"/>
    <col min="3" max="3" width="5.5703125" bestFit="1" customWidth="1"/>
    <col min="4" max="4" width="6.140625" bestFit="1" customWidth="1"/>
    <col min="5" max="6" width="6.5703125" bestFit="1" customWidth="1"/>
    <col min="8" max="8" width="10.85546875" bestFit="1" customWidth="1"/>
    <col min="11" max="11" width="6.5703125" bestFit="1" customWidth="1"/>
    <col min="13" max="13" width="10.5703125" customWidth="1"/>
  </cols>
  <sheetData>
    <row r="1" spans="1:13">
      <c r="A1" s="201" t="s">
        <v>224</v>
      </c>
      <c r="B1" s="202"/>
      <c r="C1" s="202"/>
      <c r="D1" s="202"/>
      <c r="E1" s="202"/>
      <c r="F1" s="202"/>
      <c r="G1" s="202"/>
    </row>
    <row r="2" spans="1:13" ht="15" customHeight="1">
      <c r="A2" s="199" t="s">
        <v>225</v>
      </c>
      <c r="B2" s="200" t="s">
        <v>232</v>
      </c>
      <c r="C2" s="200" t="s">
        <v>230</v>
      </c>
      <c r="D2" s="200" t="s">
        <v>231</v>
      </c>
      <c r="E2" s="200" t="s">
        <v>228</v>
      </c>
      <c r="F2" s="200" t="s">
        <v>227</v>
      </c>
      <c r="G2" s="200" t="s">
        <v>236</v>
      </c>
      <c r="K2" s="190" t="s">
        <v>231</v>
      </c>
      <c r="L2" s="189" t="s">
        <v>226</v>
      </c>
      <c r="M2" s="189"/>
    </row>
    <row r="3" spans="1:13">
      <c r="A3" s="194">
        <v>45725</v>
      </c>
      <c r="B3" s="195">
        <v>40</v>
      </c>
      <c r="C3" s="197">
        <v>0</v>
      </c>
      <c r="D3" s="197">
        <v>0</v>
      </c>
      <c r="E3" s="197">
        <v>0</v>
      </c>
      <c r="F3" s="197">
        <v>0</v>
      </c>
      <c r="G3" s="197">
        <v>0</v>
      </c>
      <c r="K3" s="191"/>
      <c r="L3" s="189"/>
      <c r="M3" s="189"/>
    </row>
    <row r="4" spans="1:13">
      <c r="A4" s="194">
        <v>45726</v>
      </c>
      <c r="B4" s="195">
        <v>40</v>
      </c>
      <c r="C4" s="195">
        <v>40</v>
      </c>
      <c r="D4" s="195">
        <v>40</v>
      </c>
      <c r="E4" s="195">
        <v>40</v>
      </c>
      <c r="F4" s="195">
        <v>40</v>
      </c>
      <c r="G4" s="195">
        <f>E4+F4</f>
        <v>80</v>
      </c>
      <c r="K4" s="191"/>
      <c r="L4" s="189"/>
      <c r="M4" s="189"/>
    </row>
    <row r="5" spans="1:13">
      <c r="A5" s="194">
        <v>45727</v>
      </c>
      <c r="B5" s="195">
        <v>20</v>
      </c>
      <c r="C5" s="195">
        <v>20</v>
      </c>
      <c r="D5" s="195">
        <v>20</v>
      </c>
      <c r="E5" s="195">
        <v>20</v>
      </c>
      <c r="F5" s="195">
        <v>20</v>
      </c>
      <c r="G5" s="195">
        <f t="shared" ref="G5:G7" si="0">E5+F5</f>
        <v>40</v>
      </c>
      <c r="K5" s="191"/>
      <c r="L5" s="189"/>
      <c r="M5" s="189"/>
    </row>
    <row r="6" spans="1:13">
      <c r="A6" s="196">
        <v>45728</v>
      </c>
      <c r="B6" s="197">
        <v>0</v>
      </c>
      <c r="C6" s="197">
        <v>0</v>
      </c>
      <c r="D6" s="197">
        <v>0</v>
      </c>
      <c r="E6" s="197">
        <v>0</v>
      </c>
      <c r="F6" s="197">
        <v>0</v>
      </c>
      <c r="G6" s="197">
        <f t="shared" si="0"/>
        <v>0</v>
      </c>
    </row>
    <row r="7" spans="1:13">
      <c r="A7" s="194">
        <v>45729</v>
      </c>
      <c r="B7" s="195">
        <v>20</v>
      </c>
      <c r="C7" s="195">
        <v>20</v>
      </c>
      <c r="D7" s="195">
        <v>20</v>
      </c>
      <c r="E7" s="195">
        <v>20</v>
      </c>
      <c r="F7" s="195">
        <v>20</v>
      </c>
      <c r="G7" s="195">
        <f t="shared" si="0"/>
        <v>40</v>
      </c>
    </row>
    <row r="8" spans="1:13" ht="15" customHeight="1">
      <c r="A8" s="198">
        <v>45730</v>
      </c>
      <c r="B8" s="193"/>
      <c r="C8" s="193"/>
      <c r="D8" s="193"/>
      <c r="E8" s="193"/>
      <c r="F8" s="193"/>
      <c r="G8" s="193"/>
      <c r="K8" s="192" t="s">
        <v>232</v>
      </c>
      <c r="L8" s="189" t="s">
        <v>233</v>
      </c>
      <c r="M8" s="189"/>
    </row>
    <row r="9" spans="1:13">
      <c r="A9" s="198">
        <v>45731</v>
      </c>
      <c r="B9" s="193"/>
      <c r="C9" s="193"/>
      <c r="D9" s="193"/>
      <c r="E9" s="193"/>
      <c r="F9" s="193"/>
      <c r="G9" s="193"/>
      <c r="L9" s="189"/>
      <c r="M9" s="189"/>
    </row>
    <row r="10" spans="1:13">
      <c r="A10" s="198">
        <v>45732</v>
      </c>
      <c r="B10" s="193"/>
      <c r="C10" s="193"/>
      <c r="D10" s="193"/>
      <c r="E10" s="193"/>
      <c r="F10" s="193"/>
      <c r="G10" s="193"/>
      <c r="L10" s="189"/>
      <c r="M10" s="189"/>
    </row>
    <row r="11" spans="1:13">
      <c r="A11" s="198">
        <v>45733</v>
      </c>
      <c r="B11" s="193"/>
      <c r="C11" s="193"/>
      <c r="D11" s="193"/>
      <c r="E11" s="193"/>
      <c r="F11" s="193"/>
      <c r="G11" s="193"/>
      <c r="L11" s="189"/>
      <c r="M11" s="189"/>
    </row>
    <row r="12" spans="1:13">
      <c r="A12" s="198">
        <v>45734</v>
      </c>
      <c r="B12" s="193"/>
      <c r="C12" s="193"/>
      <c r="D12" s="193"/>
      <c r="E12" s="193"/>
      <c r="F12" s="193"/>
      <c r="G12" s="193"/>
      <c r="L12" s="189"/>
      <c r="M12" s="189"/>
    </row>
    <row r="13" spans="1:13">
      <c r="A13" s="198">
        <v>45735</v>
      </c>
      <c r="B13" s="193"/>
      <c r="C13" s="193"/>
      <c r="D13" s="193"/>
      <c r="E13" s="193"/>
      <c r="F13" s="193"/>
      <c r="G13" s="193"/>
    </row>
    <row r="14" spans="1:13">
      <c r="A14" s="198">
        <v>45736</v>
      </c>
      <c r="B14" s="193"/>
      <c r="C14" s="193"/>
      <c r="D14" s="193"/>
      <c r="E14" s="193"/>
      <c r="F14" s="193"/>
      <c r="G14" s="193"/>
    </row>
    <row r="15" spans="1:13">
      <c r="A15" s="198">
        <v>45737</v>
      </c>
      <c r="B15" s="193"/>
      <c r="C15" s="193"/>
      <c r="D15" s="193"/>
      <c r="E15" s="193"/>
      <c r="F15" s="193"/>
      <c r="G15" s="193"/>
      <c r="K15" s="192" t="s">
        <v>230</v>
      </c>
      <c r="L15" s="188" t="s">
        <v>229</v>
      </c>
      <c r="M15" s="185"/>
    </row>
    <row r="16" spans="1:13">
      <c r="A16" s="198">
        <v>45738</v>
      </c>
      <c r="B16" s="193"/>
      <c r="C16" s="193"/>
      <c r="D16" s="193"/>
      <c r="E16" s="193"/>
      <c r="F16" s="193"/>
      <c r="G16" s="193"/>
    </row>
    <row r="17" spans="1:14">
      <c r="A17" s="198">
        <v>45739</v>
      </c>
      <c r="B17" s="193"/>
      <c r="C17" s="193"/>
      <c r="D17" s="193"/>
      <c r="E17" s="193"/>
      <c r="F17" s="193"/>
      <c r="G17" s="193"/>
      <c r="N17" s="186"/>
    </row>
    <row r="18" spans="1:14">
      <c r="A18" s="198">
        <v>45740</v>
      </c>
      <c r="B18" s="193"/>
      <c r="C18" s="193"/>
      <c r="D18" s="193"/>
      <c r="E18" s="193"/>
      <c r="F18" s="193"/>
      <c r="G18" s="193"/>
      <c r="N18" s="186"/>
    </row>
    <row r="19" spans="1:14">
      <c r="N19" s="186"/>
    </row>
    <row r="20" spans="1:14">
      <c r="N20" s="186"/>
    </row>
    <row r="21" spans="1:14">
      <c r="K21" s="192" t="s">
        <v>228</v>
      </c>
      <c r="L21" s="188" t="s">
        <v>234</v>
      </c>
      <c r="M21" s="188"/>
      <c r="N21" s="186"/>
    </row>
    <row r="27" spans="1:14">
      <c r="N27" s="187"/>
    </row>
    <row r="28" spans="1:14">
      <c r="K28" s="187" t="s">
        <v>227</v>
      </c>
      <c r="L28" s="188" t="s">
        <v>235</v>
      </c>
      <c r="M28" s="188"/>
    </row>
  </sheetData>
  <mergeCells count="7">
    <mergeCell ref="L15:M15"/>
    <mergeCell ref="L21:M21"/>
    <mergeCell ref="L28:M28"/>
    <mergeCell ref="A1:G1"/>
    <mergeCell ref="L2:M5"/>
    <mergeCell ref="K2:K5"/>
    <mergeCell ref="L8:M12"/>
  </mergeCells>
  <phoneticPr fontId="15" type="noConversion"/>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6</vt:i4>
      </vt:variant>
    </vt:vector>
  </HeadingPairs>
  <TitlesOfParts>
    <vt:vector size="6" baseType="lpstr">
      <vt:lpstr>Frasi</vt:lpstr>
      <vt:lpstr>Dinofroz List</vt:lpstr>
      <vt:lpstr>Spedizioni</vt:lpstr>
      <vt:lpstr>Cartucce List</vt:lpstr>
      <vt:lpstr>Spiegazione</vt:lpstr>
      <vt:lpstr>Allenamento giornaliero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Mattia Forneron</dc:creator>
  <cp:lastModifiedBy>Mattia  Forneron</cp:lastModifiedBy>
  <dcterms:created xsi:type="dcterms:W3CDTF">2015-06-05T18:19:34Z</dcterms:created>
  <dcterms:modified xsi:type="dcterms:W3CDTF">2025-03-14T15:41:31Z</dcterms:modified>
</cp:coreProperties>
</file>