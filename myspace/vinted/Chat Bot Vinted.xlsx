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mattia.forneron\Desktop\myfolder\MyWorkFolder\myspace\vinted\"/>
    </mc:Choice>
  </mc:AlternateContent>
  <xr:revisionPtr revIDLastSave="0" documentId="13_ncr:1_{AC605D3E-E986-4FA6-918A-42CE4B4D2E7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rasi" sheetId="1" r:id="rId1"/>
    <sheet name="Dinofroz List" sheetId="2" r:id="rId2"/>
    <sheet name="Cartucce List" sheetId="4" r:id="rId3"/>
    <sheet name="Spedizioni" sheetId="3" r:id="rId4"/>
    <sheet name="Spiegazione" sheetId="5" r:id="rId5"/>
    <sheet name="Allenamento giornaliero" sheetId="6" r:id="rId6"/>
    <sheet name="Progressi Settimanali" sheetId="7" r:id="rId7"/>
    <sheet name="Vacanza_Jade" sheetId="8" r:id="rId8"/>
    <sheet name="Investimenti" sheetId="9" r:id="rId9"/>
  </sheets>
  <definedNames>
    <definedName name="_xlnm._FilterDatabase" localSheetId="3" hidden="1">Spedizioni!$A$2:$K$34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jyX7o/HUAg6Dk7/zdUmPcq2MPYf6sLyDbh7wAw8wyxY="/>
    </ext>
  </extLst>
</workbook>
</file>

<file path=xl/calcChain.xml><?xml version="1.0" encoding="utf-8"?>
<calcChain xmlns="http://schemas.openxmlformats.org/spreadsheetml/2006/main">
  <c r="D34" i="3" l="1"/>
  <c r="P17" i="3"/>
  <c r="Q31" i="3"/>
  <c r="D33" i="3"/>
  <c r="N37" i="3"/>
  <c r="O11" i="3"/>
  <c r="D32" i="3"/>
  <c r="O4" i="9"/>
  <c r="M4" i="9" s="1"/>
  <c r="D5" i="9"/>
  <c r="M5" i="9"/>
  <c r="M3" i="9"/>
  <c r="L3" i="9"/>
  <c r="E2" i="9"/>
  <c r="B2" i="9" s="1"/>
  <c r="E4" i="9"/>
  <c r="B4" i="9" s="1"/>
  <c r="G4" i="9"/>
  <c r="E5" i="9"/>
  <c r="B5" i="9" s="1"/>
  <c r="G5" i="9"/>
  <c r="E3" i="9"/>
  <c r="B3" i="9" s="1"/>
  <c r="G3" i="9"/>
  <c r="G2" i="9"/>
  <c r="D31" i="3"/>
  <c r="P31" i="3"/>
  <c r="S31" i="3" s="1"/>
  <c r="P11" i="2"/>
  <c r="P9" i="2"/>
  <c r="P10" i="2"/>
  <c r="P13" i="2"/>
  <c r="P12" i="2"/>
  <c r="J23" i="2"/>
  <c r="I16" i="2"/>
  <c r="R31" i="3" l="1"/>
  <c r="N2" i="9"/>
  <c r="I2" i="9"/>
  <c r="D15" i="8"/>
  <c r="C15" i="8"/>
  <c r="O10" i="3"/>
  <c r="O6" i="3" s="1"/>
  <c r="P10" i="3"/>
  <c r="G37" i="6"/>
  <c r="G38" i="6"/>
  <c r="G39" i="6"/>
  <c r="D30" i="3"/>
  <c r="G36" i="6"/>
  <c r="P26" i="3"/>
  <c r="Q27" i="3"/>
  <c r="P27" i="3"/>
  <c r="G35" i="6"/>
  <c r="G34" i="6"/>
  <c r="B42" i="6"/>
  <c r="C53" i="6"/>
  <c r="D53" i="6"/>
  <c r="E53" i="6"/>
  <c r="F53" i="6"/>
  <c r="B53" i="6"/>
  <c r="F46" i="6"/>
  <c r="E46" i="6"/>
  <c r="D46" i="6"/>
  <c r="C46" i="6"/>
  <c r="B46" i="6"/>
  <c r="F75" i="6"/>
  <c r="F73" i="6"/>
  <c r="F74" i="6"/>
  <c r="F72" i="6"/>
  <c r="F70" i="6"/>
  <c r="F66" i="6"/>
  <c r="F67" i="6"/>
  <c r="F68" i="6"/>
  <c r="F69" i="6"/>
  <c r="F65" i="6"/>
  <c r="G33" i="6"/>
  <c r="F43" i="6"/>
  <c r="C51" i="6"/>
  <c r="G32" i="6"/>
  <c r="G31" i="6"/>
  <c r="G30" i="6"/>
  <c r="B9" i="5"/>
  <c r="G28" i="6"/>
  <c r="G29" i="6"/>
  <c r="Q26" i="3"/>
  <c r="G27" i="6"/>
  <c r="N3" i="9" l="1"/>
  <c r="C4" i="9" s="1"/>
  <c r="I4" i="9" s="1"/>
  <c r="C3" i="9"/>
  <c r="I3" i="9"/>
  <c r="L2" i="9"/>
  <c r="R27" i="3"/>
  <c r="S27" i="3"/>
  <c r="G46" i="6"/>
  <c r="G53" i="6"/>
  <c r="G71" i="6"/>
  <c r="G64" i="6"/>
  <c r="R26" i="3"/>
  <c r="S26" i="3"/>
  <c r="B45" i="6"/>
  <c r="G26" i="6"/>
  <c r="G52" i="6" s="1"/>
  <c r="G24" i="6"/>
  <c r="G23" i="6"/>
  <c r="G22" i="6"/>
  <c r="G21" i="6"/>
  <c r="F52" i="6"/>
  <c r="E52" i="6"/>
  <c r="D52" i="6"/>
  <c r="C52" i="6"/>
  <c r="B52" i="6"/>
  <c r="C45" i="6"/>
  <c r="D45" i="6"/>
  <c r="E45" i="6"/>
  <c r="F45" i="6"/>
  <c r="B44" i="6"/>
  <c r="Q25" i="3"/>
  <c r="P6" i="3"/>
  <c r="P25" i="3"/>
  <c r="S25" i="3" s="1"/>
  <c r="D29" i="3"/>
  <c r="D51" i="6"/>
  <c r="E51" i="6"/>
  <c r="F51" i="6"/>
  <c r="B51" i="6"/>
  <c r="C50" i="6"/>
  <c r="D50" i="6"/>
  <c r="E50" i="6"/>
  <c r="F50" i="6"/>
  <c r="B50" i="6"/>
  <c r="C49" i="6"/>
  <c r="D49" i="6"/>
  <c r="E49" i="6"/>
  <c r="F49" i="6"/>
  <c r="B49" i="6"/>
  <c r="F44" i="6"/>
  <c r="E44" i="6"/>
  <c r="D44" i="6"/>
  <c r="C44" i="6"/>
  <c r="G20" i="6"/>
  <c r="G19" i="6"/>
  <c r="G18" i="6"/>
  <c r="D28" i="3"/>
  <c r="B43" i="6"/>
  <c r="E43" i="6"/>
  <c r="D43" i="6"/>
  <c r="C43" i="6"/>
  <c r="G16" i="6"/>
  <c r="G15" i="6"/>
  <c r="G13" i="6"/>
  <c r="G14" i="6"/>
  <c r="D27" i="3"/>
  <c r="D26" i="3"/>
  <c r="G12" i="6"/>
  <c r="P14" i="2"/>
  <c r="O14" i="2" s="1"/>
  <c r="G11" i="6"/>
  <c r="G10" i="6"/>
  <c r="G9" i="6"/>
  <c r="D25" i="3"/>
  <c r="D24" i="3"/>
  <c r="Q24" i="3"/>
  <c r="P24" i="3"/>
  <c r="S24" i="3" s="1"/>
  <c r="G5" i="6"/>
  <c r="G6" i="6"/>
  <c r="G7" i="6"/>
  <c r="G4" i="6"/>
  <c r="Q23" i="3"/>
  <c r="P23" i="3"/>
  <c r="D23" i="3"/>
  <c r="D22" i="3"/>
  <c r="D21" i="3"/>
  <c r="P22" i="3"/>
  <c r="Q22" i="3"/>
  <c r="J3" i="9" l="1"/>
  <c r="D3" i="9"/>
  <c r="O3" i="9" s="1"/>
  <c r="N4" i="9"/>
  <c r="C5" i="9" s="1"/>
  <c r="I5" i="9" s="1"/>
  <c r="J2" i="9"/>
  <c r="K2" i="9"/>
  <c r="G45" i="6"/>
  <c r="R25" i="3"/>
  <c r="G50" i="6"/>
  <c r="G44" i="6"/>
  <c r="G51" i="6"/>
  <c r="G43" i="6"/>
  <c r="R24" i="3"/>
  <c r="R23" i="3"/>
  <c r="S23" i="3"/>
  <c r="R22" i="3"/>
  <c r="S22" i="3"/>
  <c r="D19" i="3"/>
  <c r="P7" i="3"/>
  <c r="Q17" i="3"/>
  <c r="Q18" i="3"/>
  <c r="Q19" i="3"/>
  <c r="Q20" i="3"/>
  <c r="Q21" i="3"/>
  <c r="P18" i="3"/>
  <c r="P19" i="3"/>
  <c r="S19" i="3" s="1"/>
  <c r="P20" i="3"/>
  <c r="S20" i="3" s="1"/>
  <c r="P21" i="3"/>
  <c r="S21" i="3" s="1"/>
  <c r="D20" i="3"/>
  <c r="D3" i="3"/>
  <c r="D12" i="3"/>
  <c r="D16" i="3"/>
  <c r="D17" i="3"/>
  <c r="D18" i="3"/>
  <c r="D15" i="3"/>
  <c r="D14" i="3"/>
  <c r="D13" i="3"/>
  <c r="D11" i="3"/>
  <c r="D10" i="3"/>
  <c r="P9" i="3"/>
  <c r="O9" i="3"/>
  <c r="D9" i="3"/>
  <c r="P8" i="3"/>
  <c r="O8" i="3"/>
  <c r="D8" i="3"/>
  <c r="O7" i="3"/>
  <c r="D7" i="3"/>
  <c r="D6" i="3"/>
  <c r="D5" i="3"/>
  <c r="P4" i="3"/>
  <c r="O4" i="3"/>
  <c r="O12" i="3" s="1"/>
  <c r="D4" i="3"/>
  <c r="K23" i="2"/>
  <c r="H23" i="2"/>
  <c r="I22" i="2"/>
  <c r="I21" i="2"/>
  <c r="I20" i="2"/>
  <c r="I19" i="2"/>
  <c r="I18" i="2"/>
  <c r="I17" i="2"/>
  <c r="I15" i="2"/>
  <c r="I14" i="2"/>
  <c r="I13" i="2"/>
  <c r="I12" i="2"/>
  <c r="I11" i="2"/>
  <c r="I10" i="2"/>
  <c r="I9" i="2"/>
  <c r="O13" i="3" l="1"/>
  <c r="O43" i="3" s="1"/>
  <c r="P43" i="3" s="1"/>
  <c r="S18" i="3"/>
  <c r="P37" i="3"/>
  <c r="Q37" i="3"/>
  <c r="P11" i="3"/>
  <c r="P12" i="3" s="1"/>
  <c r="P13" i="3" s="1"/>
  <c r="K3" i="9"/>
  <c r="D4" i="9"/>
  <c r="N5" i="9"/>
  <c r="L5" i="9" s="1"/>
  <c r="L4" i="9"/>
  <c r="O5" i="9" s="1"/>
  <c r="C42" i="6"/>
  <c r="S17" i="3"/>
  <c r="I23" i="2"/>
  <c r="R17" i="3"/>
  <c r="R21" i="3"/>
  <c r="R20" i="3"/>
  <c r="R19" i="3"/>
  <c r="R18" i="3"/>
  <c r="P5" i="3"/>
  <c r="O5" i="3"/>
  <c r="S37" i="3" l="1"/>
  <c r="R37" i="3"/>
  <c r="K4" i="9"/>
  <c r="J4" i="9"/>
  <c r="J5" i="9"/>
  <c r="K5" i="9"/>
  <c r="D42" i="6"/>
  <c r="O44" i="3" l="1"/>
  <c r="P44" i="3" s="1"/>
  <c r="E42" i="6"/>
  <c r="F42" i="6"/>
  <c r="G8" i="6" l="1"/>
  <c r="G49" i="6" s="1"/>
  <c r="G42" i="6" l="1"/>
</calcChain>
</file>

<file path=xl/sharedStrings.xml><?xml version="1.0" encoding="utf-8"?>
<sst xmlns="http://schemas.openxmlformats.org/spreadsheetml/2006/main" count="646" uniqueCount="428">
  <si>
    <t>Ordine</t>
  </si>
  <si>
    <t>Frase</t>
  </si>
  <si>
    <t>Codice</t>
  </si>
  <si>
    <t>Nome</t>
  </si>
  <si>
    <t>Prezzo di mercato</t>
  </si>
  <si>
    <t>Mio Prezzo</t>
  </si>
  <si>
    <t>Prezzo venduto</t>
  </si>
  <si>
    <t>Venduto</t>
  </si>
  <si>
    <t>1/72</t>
  </si>
  <si>
    <t>TRICERATOPS</t>
  </si>
  <si>
    <t>True</t>
  </si>
  <si>
    <t>Media dei pezzi(teorica)</t>
  </si>
  <si>
    <t>5/72</t>
  </si>
  <si>
    <t>ANKYLOSAURUS  </t>
  </si>
  <si>
    <t>Media dei pezzi(effettiva)</t>
  </si>
  <si>
    <t>21/72</t>
  </si>
  <si>
    <t xml:space="preserve">VELOCIRAPTOR </t>
  </si>
  <si>
    <t>False</t>
  </si>
  <si>
    <t>Da vendere</t>
  </si>
  <si>
    <t>23/72</t>
  </si>
  <si>
    <t xml:space="preserve">PSITTACOSAURUS </t>
  </si>
  <si>
    <t>Ricavo(teorico)</t>
  </si>
  <si>
    <t>25/72</t>
  </si>
  <si>
    <t xml:space="preserve">SPINOSAURUS  </t>
  </si>
  <si>
    <t>Ricavo(effettivo)</t>
  </si>
  <si>
    <t>27/72</t>
  </si>
  <si>
    <t xml:space="preserve">TSINTAOSAURUS  </t>
  </si>
  <si>
    <t>37/72</t>
  </si>
  <si>
    <t xml:space="preserve">DIMETRODON  </t>
  </si>
  <si>
    <t>39/72</t>
  </si>
  <si>
    <t xml:space="preserve">STEGOSAURUS  </t>
  </si>
  <si>
    <t>41/72</t>
  </si>
  <si>
    <t>BARYONYX</t>
  </si>
  <si>
    <t>43/72</t>
  </si>
  <si>
    <t xml:space="preserve">STYRACOSAURUS  </t>
  </si>
  <si>
    <t>45/72</t>
  </si>
  <si>
    <t>GALLIMIMUS</t>
  </si>
  <si>
    <t>59/72</t>
  </si>
  <si>
    <t xml:space="preserve">PTERANODON </t>
  </si>
  <si>
    <t>63/72</t>
  </si>
  <si>
    <t xml:space="preserve">BRONTOSAURUS  </t>
  </si>
  <si>
    <t>71/72</t>
  </si>
  <si>
    <t xml:space="preserve">HYPSILOPHODON </t>
  </si>
  <si>
    <t xml:space="preserve">Totale </t>
  </si>
  <si>
    <t>14 Pezzi</t>
  </si>
  <si>
    <t>Dettagli su calcoli dei prezzi</t>
  </si>
  <si>
    <t>Per i prodotti sui 15€ la formula è (prezzo -5 /2)</t>
  </si>
  <si>
    <t>Per i prodotti sui 10 o 9€ la formula è (prezzo /2) -1</t>
  </si>
  <si>
    <t>Spedizioni</t>
  </si>
  <si>
    <t>Giorno Spedizione</t>
  </si>
  <si>
    <t>Giorno di arrivo</t>
  </si>
  <si>
    <t>Luogo di partenza</t>
  </si>
  <si>
    <t>Luogo Destinazione</t>
  </si>
  <si>
    <t>Prodotto</t>
  </si>
  <si>
    <t>Persona</t>
  </si>
  <si>
    <t>Corriere</t>
  </si>
  <si>
    <t>Stato</t>
  </si>
  <si>
    <t>Costo</t>
  </si>
  <si>
    <t>martedì, 4/02/2025</t>
  </si>
  <si>
    <t>S. secondo di Pinerolo</t>
  </si>
  <si>
    <t>FrankFurt, Germania</t>
  </si>
  <si>
    <t>martyna4172</t>
  </si>
  <si>
    <t>Ups</t>
  </si>
  <si>
    <t>ANNULLATO</t>
  </si>
  <si>
    <t>Tipo Saldo</t>
  </si>
  <si>
    <t>Tot €</t>
  </si>
  <si>
    <t>N°</t>
  </si>
  <si>
    <t>T-shirt Loose Fit Snoopy</t>
  </si>
  <si>
    <t>jorgea92</t>
  </si>
  <si>
    <t>InPost</t>
  </si>
  <si>
    <t>CONSEGNATO</t>
  </si>
  <si>
    <t>venerdì, 14/02/2025</t>
  </si>
  <si>
    <t>Tshirt superpapà</t>
  </si>
  <si>
    <t xml:space="preserve"> IN SOSPESO</t>
  </si>
  <si>
    <t>Novara</t>
  </si>
  <si>
    <t>DragonBall 7 mini Figure</t>
  </si>
  <si>
    <t>niko230393</t>
  </si>
  <si>
    <t>Poste Italiane</t>
  </si>
  <si>
    <t>ONLINE</t>
  </si>
  <si>
    <t>Bizzarone(CO)</t>
  </si>
  <si>
    <t>2 Mini macchine cricchetto+red</t>
  </si>
  <si>
    <t>plclerici</t>
  </si>
  <si>
    <t>A MANO</t>
  </si>
  <si>
    <t>giovedì, 20/02/2025</t>
  </si>
  <si>
    <t>Ancona</t>
  </si>
  <si>
    <t>Saetta Blu</t>
  </si>
  <si>
    <t>axaelena</t>
  </si>
  <si>
    <t xml:space="preserve"> DA CONSEGNARE</t>
  </si>
  <si>
    <t>Roma</t>
  </si>
  <si>
    <t>2 Macchine saetta + ramone</t>
  </si>
  <si>
    <t>almacom1980</t>
  </si>
  <si>
    <t>DA RITIRARE</t>
  </si>
  <si>
    <t>Trieste</t>
  </si>
  <si>
    <t>2 Mini macchine saetta</t>
  </si>
  <si>
    <t>spendopoco80</t>
  </si>
  <si>
    <t>Millesimo</t>
  </si>
  <si>
    <t>4 Mini macchine</t>
  </si>
  <si>
    <t>quadrifoglio15</t>
  </si>
  <si>
    <t>Calais, Francia</t>
  </si>
  <si>
    <t>2 figure Wednesday + cubo rubick</t>
  </si>
  <si>
    <t>ni_bi_ru</t>
  </si>
  <si>
    <t>BRT</t>
  </si>
  <si>
    <t>martedì, 18/02/2025</t>
  </si>
  <si>
    <t>Napoli</t>
  </si>
  <si>
    <t>solelibero</t>
  </si>
  <si>
    <t>Periodo</t>
  </si>
  <si>
    <t>Quantità</t>
  </si>
  <si>
    <t>Media</t>
  </si>
  <si>
    <t>Reggio Emilia</t>
  </si>
  <si>
    <t>elenasimonini</t>
  </si>
  <si>
    <t>Settimane</t>
  </si>
  <si>
    <t>X vendita</t>
  </si>
  <si>
    <t>X giorno</t>
  </si>
  <si>
    <t>Bras, Belgio</t>
  </si>
  <si>
    <t>T-shirt bianca Tena</t>
  </si>
  <si>
    <t>val6800</t>
  </si>
  <si>
    <t>Prima settimana</t>
  </si>
  <si>
    <t>27gen -  01feb</t>
  </si>
  <si>
    <t>Arcore(MI)</t>
  </si>
  <si>
    <t>thedraconids</t>
  </si>
  <si>
    <t>Seconda settimana</t>
  </si>
  <si>
    <t>03feb -  08feb</t>
  </si>
  <si>
    <t>Roletto</t>
  </si>
  <si>
    <t>xxyoloxx2880</t>
  </si>
  <si>
    <t>A mano</t>
  </si>
  <si>
    <t>CONSEGNATO A MANO</t>
  </si>
  <si>
    <t>Terza settimana</t>
  </si>
  <si>
    <t>10feb -  15feb</t>
  </si>
  <si>
    <t>mercoledì, 19/02/2025</t>
  </si>
  <si>
    <t>Loranzè(TO)</t>
  </si>
  <si>
    <t>gharreyz</t>
  </si>
  <si>
    <t>Quarta settimana</t>
  </si>
  <si>
    <t>17feb -  22feb</t>
  </si>
  <si>
    <t>venerdì, 21/02/2025</t>
  </si>
  <si>
    <t>Monpazier, Francia</t>
  </si>
  <si>
    <t>jackmonpaz</t>
  </si>
  <si>
    <t>Quinta settimana</t>
  </si>
  <si>
    <t>24feb - 01mar</t>
  </si>
  <si>
    <t>lunedì, 24/02/2025</t>
  </si>
  <si>
    <t>martedì, 25/02/2025</t>
  </si>
  <si>
    <t>lollo rosani</t>
  </si>
  <si>
    <t>Cartuccia</t>
  </si>
  <si>
    <t>Prezzo</t>
  </si>
  <si>
    <t>300black+300color</t>
  </si>
  <si>
    <t>Pacco pronto!! Domani prima di andare a lavoro lo spedisco😊​</t>
  </si>
  <si>
    <t>Pacco spedito!! Ci sentiamo all'arrivo😊​</t>
  </si>
  <si>
    <t>Ho aggiunto altri modellini se eri interessato/a maggiormente a quelli😊​</t>
  </si>
  <si>
    <t>É arrivato!! Mi faccia sapere😊​</t>
  </si>
  <si>
    <t>Spero sia soddisfatto/a del prodotto. Le chiedo una piccola recensione per aiutare il mio profilo. Grazie ancora per aver acquistato da me😊​</t>
  </si>
  <si>
    <t>Ciao NOME, se hai bisogno di qualche info sono qui. Ti consiglio di guardare il mio profilo così se c'è altro che ti interessa possiamo fare un pacchetto unico😊</t>
  </si>
  <si>
    <t>​Ho per esempio altre modellini di Cars, mariokart e Action figure varie.</t>
  </si>
  <si>
    <t>Se le interessano modellini specifici, chieda pure che vedo se posso trovarglieli.</t>
  </si>
  <si>
    <t>​Ho per esempio altre t-shirt con stampe di vari colori.</t>
  </si>
  <si>
    <t>Grazie per aver acquistato da me!!😊</t>
  </si>
  <si>
    <t>Categoria</t>
  </si>
  <si>
    <t>Iniaziale</t>
  </si>
  <si>
    <t>Intermedia</t>
  </si>
  <si>
    <t>Finale</t>
  </si>
  <si>
    <t>Ricerca</t>
  </si>
  <si>
    <t>giovedì, 27/02/2025</t>
  </si>
  <si>
    <t>il_coni</t>
  </si>
  <si>
    <t>Cartuccia hp 62 xl colore</t>
  </si>
  <si>
    <t>Villafranca di Verona</t>
  </si>
  <si>
    <t>Mese</t>
  </si>
  <si>
    <t xml:space="preserve">Durata </t>
  </si>
  <si>
    <t>301black+301color</t>
  </si>
  <si>
    <t>303black+303color</t>
  </si>
  <si>
    <t>953 xl nero</t>
  </si>
  <si>
    <t>953 xl magenta</t>
  </si>
  <si>
    <t>953 xl giallo</t>
  </si>
  <si>
    <t>953 xl blu</t>
  </si>
  <si>
    <t>305+305 20 --&gt; 27,99</t>
  </si>
  <si>
    <t>302+302 18 --&gt; 22,99</t>
  </si>
  <si>
    <t>903 xl nero</t>
  </si>
  <si>
    <t>Guadagno</t>
  </si>
  <si>
    <t>TOTALE VINTED</t>
  </si>
  <si>
    <t>Giorni Lavorativi</t>
  </si>
  <si>
    <t>mercoledì, 26/02/2025</t>
  </si>
  <si>
    <t>Matera</t>
  </si>
  <si>
    <t>baliano</t>
  </si>
  <si>
    <t>Le interessa avere una prova video della creazione del pacco? Posso se vuole linkarle il video visibile soltanto per lei. Se è interessato/a mi faccia sapere  che provvederò al caricamento😊​</t>
  </si>
  <si>
    <t>martedì, 03/03/2025</t>
  </si>
  <si>
    <t>S. Giorgio del Sannio(NA)</t>
  </si>
  <si>
    <t>vereor4</t>
  </si>
  <si>
    <t>10mar -  15mar</t>
  </si>
  <si>
    <t>17mar -  22mar</t>
  </si>
  <si>
    <t>03mar -  08mar</t>
  </si>
  <si>
    <t>24mar - 29mar</t>
  </si>
  <si>
    <t>31mar - 05apr</t>
  </si>
  <si>
    <t>venerdì, 01/03/2025</t>
  </si>
  <si>
    <t>sabato, 01/03/2025</t>
  </si>
  <si>
    <t>sabato, 08/03/2025</t>
  </si>
  <si>
    <t>lunedì, 10/03/2025</t>
  </si>
  <si>
    <t>Nantes, Francia</t>
  </si>
  <si>
    <t>sous-le-soleil</t>
  </si>
  <si>
    <t>martedì, 11/03/2025</t>
  </si>
  <si>
    <t>Varese</t>
  </si>
  <si>
    <t>monika68lore</t>
  </si>
  <si>
    <t>mercoledì, 12/03/2025</t>
  </si>
  <si>
    <t>Parigi, Francia</t>
  </si>
  <si>
    <t>ripley_4</t>
  </si>
  <si>
    <t>Ti interessa avere una prova video della creazione del pacco? Posso se vuoi linkarti il video visibile soltanto per te. Se ti interessa fammi sapere  che provvederò al caricamento😊​</t>
  </si>
  <si>
    <t>Allenamento</t>
  </si>
  <si>
    <t>Giorno</t>
  </si>
  <si>
    <t>Estensione dei Tricipiti 
con manubrio da in piedi</t>
  </si>
  <si>
    <t>Add_2</t>
  </si>
  <si>
    <t>Add_1</t>
  </si>
  <si>
    <t>DumbBell Curl</t>
  </si>
  <si>
    <t>Bic_1</t>
  </si>
  <si>
    <t>Tric_1</t>
  </si>
  <si>
    <t>Pet_1</t>
  </si>
  <si>
    <t>Usando tavola per flessioni
uso versione esterna rossa per spalle</t>
  </si>
  <si>
    <t>Crunch Inverso</t>
  </si>
  <si>
    <t>Sollevamento gambe</t>
  </si>
  <si>
    <t>Tot Add</t>
  </si>
  <si>
    <t>lunedì, 17/03/2025</t>
  </si>
  <si>
    <t>Nontron, Francia</t>
  </si>
  <si>
    <t>cuertx16</t>
  </si>
  <si>
    <t>sabato, 15/03/2025</t>
  </si>
  <si>
    <t>giovedì, 13/03/2025</t>
  </si>
  <si>
    <t>Primo week\</t>
  </si>
  <si>
    <t>N° allenamenti in media dato parametro</t>
  </si>
  <si>
    <t>Madrid, Spagna</t>
  </si>
  <si>
    <t>joscv1979</t>
  </si>
  <si>
    <t xml:space="preserve">Le cartucce della stampante le ho prese in un
 mercatino dell'usato dalle parti di torino, adesso non ricordo
 bene quando però metà anno scorso circa.
 Questo signore le svendeva a una cifra irrisoria( se non ricordo male 5€/10€ a pezzo, in base anche alla tipo) a quanto dir suo perchè era vecchio e non usava più la stampante.
Le metteva pochissimo prezzo e io avendo la stampante
 che corrispondeva a quelle cartucce pensai che era un affare non pensando che purtroppo le cartucce avevano una scadenza. 
Allora pensai che per lasciarle lì che tanto io e i miei genitori la stampante la usiamo ma non in quelle quantità era bene tenersene un po' e le altre farle fuori, svendendole su vinted. Alla fine era un modo per aiutare altra gente mettendole a molto meno del loro prezzo originario e per rientrare della spesa liberandosi dello spazio che queste cose come altre mi occupavano in casa.
</t>
  </si>
  <si>
    <t>martedì, 18/03/2025</t>
  </si>
  <si>
    <t>giovedì, 20/03/2025</t>
  </si>
  <si>
    <t>Secondo week</t>
  </si>
  <si>
    <t>prima settimana</t>
  </si>
  <si>
    <t>seconda settimana</t>
  </si>
  <si>
    <t>2 o 4 cicli</t>
  </si>
  <si>
    <t>3 o 4 o 5 cicli</t>
  </si>
  <si>
    <t>petto 12 x 4</t>
  </si>
  <si>
    <t xml:space="preserve">ciclo normale iniziale come riscoaldamento </t>
  </si>
  <si>
    <t>10pet x 4</t>
  </si>
  <si>
    <t>martedì, 25/03/2025</t>
  </si>
  <si>
    <t>mercoledì, 19/03/2025</t>
  </si>
  <si>
    <t>Terzo week</t>
  </si>
  <si>
    <t>add_1 4x12  + add_2 4x12</t>
  </si>
  <si>
    <t>Carnaxide, Portogallo</t>
  </si>
  <si>
    <t>3 pacchi di gormiti della terea</t>
  </si>
  <si>
    <t xml:space="preserve">N° ripetizioni </t>
  </si>
  <si>
    <t>venerdì, 28/03/2025</t>
  </si>
  <si>
    <t>lunedì, 28/01/2025</t>
  </si>
  <si>
    <t>RIMBORSATO</t>
  </si>
  <si>
    <t>Ricordo sempre di leggere bene le descrizioni e se non si fosse capito qualcosa sono disponibile per delucidazioni😊</t>
  </si>
  <si>
    <t>terza e quarta settimana</t>
  </si>
  <si>
    <t>Quarto week</t>
  </si>
  <si>
    <t>Pet_2</t>
  </si>
  <si>
    <t xml:space="preserve"> esterna blu per petto a presa larga</t>
  </si>
  <si>
    <t xml:space="preserve"> alta blu per petto normale</t>
  </si>
  <si>
    <t>venerdì, 04/04/2025</t>
  </si>
  <si>
    <t>mirkozamperini69</t>
  </si>
  <si>
    <t>Grezzana</t>
  </si>
  <si>
    <t>da vendere</t>
  </si>
  <si>
    <t>vendute</t>
  </si>
  <si>
    <t>possedute per ora</t>
  </si>
  <si>
    <t>Cartuccia hp 62 xl nero</t>
  </si>
  <si>
    <t>2 Cartucce hp 62 xl nero+colore</t>
  </si>
  <si>
    <t>2 Cartucce hp 62 xl nero</t>
  </si>
  <si>
    <t>3 Cartucce hp 62 xl nero+2colore</t>
  </si>
  <si>
    <t>Cartuccia hp 953 xl magenta</t>
  </si>
  <si>
    <t>5 Dinofroz</t>
  </si>
  <si>
    <t>2 Dinofroz</t>
  </si>
  <si>
    <t>Pet_1,  2, 3</t>
  </si>
  <si>
    <t>Primo week</t>
  </si>
  <si>
    <t>Quinto week</t>
  </si>
  <si>
    <t>Pet_3</t>
  </si>
  <si>
    <t>Lun</t>
  </si>
  <si>
    <t>Mar</t>
  </si>
  <si>
    <t>Mer</t>
  </si>
  <si>
    <t>Gio</t>
  </si>
  <si>
    <t>Ven</t>
  </si>
  <si>
    <t>Sab</t>
  </si>
  <si>
    <t>Dom</t>
  </si>
  <si>
    <t>Libro</t>
  </si>
  <si>
    <t>Cubo</t>
  </si>
  <si>
    <t>Vinted</t>
  </si>
  <si>
    <t>Allenam</t>
  </si>
  <si>
    <t>Sveglia presto</t>
  </si>
  <si>
    <t>Colazione</t>
  </si>
  <si>
    <t>Preparare pranzo</t>
  </si>
  <si>
    <t>7.35</t>
  </si>
  <si>
    <t>CaffeLatte, 
pangocciole</t>
  </si>
  <si>
    <t>Pasta sugo, spinaci e
 agretti</t>
  </si>
  <si>
    <t>8.20</t>
  </si>
  <si>
    <t>Arrivo a lavoro</t>
  </si>
  <si>
    <t>Ritirato vestiti e lenzuola
in caso di pioggia</t>
  </si>
  <si>
    <t>Fatto con successo</t>
  </si>
  <si>
    <t>Fatto 50%</t>
  </si>
  <si>
    <t>Bere</t>
  </si>
  <si>
    <t>Merenda</t>
  </si>
  <si>
    <t>X</t>
  </si>
  <si>
    <t>Settimana del 07 aprile 2025</t>
  </si>
  <si>
    <t>Igiene mattutino</t>
  </si>
  <si>
    <t>Igiene serale</t>
  </si>
  <si>
    <t>Sistemazioni</t>
  </si>
  <si>
    <t>Deodorante</t>
  </si>
  <si>
    <t>Uovo+Caffè by mom,
PanGocciole</t>
  </si>
  <si>
    <t>2 Borracce</t>
  </si>
  <si>
    <t>V</t>
  </si>
  <si>
    <t>Doccia completa</t>
  </si>
  <si>
    <t>7.50</t>
  </si>
  <si>
    <t>Prosciutto cotto 
e grissini
zucca e asparagi</t>
  </si>
  <si>
    <t xml:space="preserve">8.55 avendo fatto
straordinario </t>
  </si>
  <si>
    <t>bicipiti</t>
  </si>
  <si>
    <t xml:space="preserve">tricipiti </t>
  </si>
  <si>
    <t>petto 1</t>
  </si>
  <si>
    <t>petto 2</t>
  </si>
  <si>
    <t>panca piana</t>
  </si>
  <si>
    <t>add con sedia</t>
  </si>
  <si>
    <t>Esercizio</t>
  </si>
  <si>
    <t>N° rep</t>
  </si>
  <si>
    <t>N° es</t>
  </si>
  <si>
    <t>Tot</t>
  </si>
  <si>
    <t>N° cicli</t>
  </si>
  <si>
    <t>1 ciclo: pet_1, bic, tric, pet_1, panca
- 1 ciclo add
- 2 cicli: pet_1, bic, tric, pet_2, panca
-2 ciclo add
- 2 cicli: pet_2, bic, tric, pet_2, panca</t>
  </si>
  <si>
    <t>Se mi alleno</t>
  </si>
  <si>
    <t>Se non mi alleno</t>
  </si>
  <si>
    <t>petto 3</t>
  </si>
  <si>
    <t>Tot petto</t>
  </si>
  <si>
    <t>add 1 &amp; 2</t>
  </si>
  <si>
    <t>bicipiti e tricipiti 4x10 (12 per quarta settimana)</t>
  </si>
  <si>
    <t>ogni ciclo:
10x3 di petto
12x2 di add</t>
  </si>
  <si>
    <t>Descrizoni allenamenti settimanali</t>
  </si>
  <si>
    <t>8.10</t>
  </si>
  <si>
    <t>CaffeLatte, 
pangocciole, crostatina</t>
  </si>
  <si>
    <t>Yogurt di capra 
agli agrumi</t>
  </si>
  <si>
    <t>8.55</t>
  </si>
  <si>
    <t>3 Borracce</t>
  </si>
  <si>
    <t>Pasta sugo, mozzarella,
tonno, finocchi e mela</t>
  </si>
  <si>
    <t>8.55
commissione in banca</t>
  </si>
  <si>
    <t xml:space="preserve">7.30 </t>
  </si>
  <si>
    <t>Alzato</t>
  </si>
  <si>
    <t>7.45</t>
  </si>
  <si>
    <t>CaffeLatte,
Cioccolato e Banana</t>
  </si>
  <si>
    <t>Banana</t>
  </si>
  <si>
    <t>Tacchino, pane e coste</t>
  </si>
  <si>
    <t>Bidet, Piedi e ascelle 
+ Deodorante</t>
  </si>
  <si>
    <t>Non fatto</t>
  </si>
  <si>
    <t>Da fare quel giorno</t>
  </si>
  <si>
    <t>07apr - 12apr</t>
  </si>
  <si>
    <t>venerdì, 11/04/2025</t>
  </si>
  <si>
    <t>Martina Franca</t>
  </si>
  <si>
    <t>giannisalas</t>
  </si>
  <si>
    <t>Fare Pacco 2 cartucce</t>
  </si>
  <si>
    <t>7.20</t>
  </si>
  <si>
    <t>7.15</t>
  </si>
  <si>
    <t>Uovo+Caffè by dad,
Crostatina</t>
  </si>
  <si>
    <t>Cioccolato</t>
  </si>
  <si>
    <t>Pane, salciccia e finocchi</t>
  </si>
  <si>
    <t>8.55
fatto con calma</t>
  </si>
  <si>
    <t xml:space="preserve">Piegare la roba stesa
</t>
  </si>
  <si>
    <t>sistemare armadio</t>
  </si>
  <si>
    <t>3 Borraccia</t>
  </si>
  <si>
    <t>RIMBORSATI</t>
  </si>
  <si>
    <t>Costi</t>
  </si>
  <si>
    <t>Jade</t>
  </si>
  <si>
    <t>Io</t>
  </si>
  <si>
    <t>Descrizioni</t>
  </si>
  <si>
    <t>Data</t>
  </si>
  <si>
    <t>Viaggio ad Andora 
di 3 giorni dal 02/05 al 04/05</t>
  </si>
  <si>
    <t>Autostrada
 Marene-Ceva</t>
  </si>
  <si>
    <t>Benzina 
x Full serbatoio</t>
  </si>
  <si>
    <t>acqua, pasta, sugo, guanciale 
tampax, patatine</t>
  </si>
  <si>
    <t>Coca 0 e danette</t>
  </si>
  <si>
    <t>Pizze tot 20(11J + 9M)</t>
  </si>
  <si>
    <t>2 cappucci + 2 brioche</t>
  </si>
  <si>
    <t>panini tot19(12J + 7M)</t>
  </si>
  <si>
    <t>2 Menu degustazione + vino</t>
  </si>
  <si>
    <t>Autostrada
 Ceva - Marene</t>
  </si>
  <si>
    <t>Mc Donalds</t>
  </si>
  <si>
    <t>05mag - 10mag</t>
  </si>
  <si>
    <t>martedì, 06/05/2025</t>
  </si>
  <si>
    <t>arda_s1</t>
  </si>
  <si>
    <t>Vienna, Austria</t>
  </si>
  <si>
    <t>michele urbano</t>
  </si>
  <si>
    <t>Bari</t>
  </si>
  <si>
    <t>mercoledì, 07/05/2025</t>
  </si>
  <si>
    <t>1 Dinofroz</t>
  </si>
  <si>
    <t>14apr - 19apr</t>
  </si>
  <si>
    <t>21apr - 26apr</t>
  </si>
  <si>
    <t>28apr - 03mag</t>
  </si>
  <si>
    <t>giovedì, 17/04/2025</t>
  </si>
  <si>
    <t>TOTALE - TRASFERIMENTI</t>
  </si>
  <si>
    <t>TOTALE - SPESE</t>
  </si>
  <si>
    <t>Inoltre come venditore offro il servizio gratuito di prova video riguardante la creazione del pacchetto e
 spedirei domani mattina presto prima di andare a lavoro Io ho la stampante a disposizione per l'etichetta
 fino alle 5:45pm Attendo un tuo riscontro😊</t>
  </si>
  <si>
    <t>Capitale iniziale</t>
  </si>
  <si>
    <t>Capitale mensile</t>
  </si>
  <si>
    <t>Tasso annuo</t>
  </si>
  <si>
    <t>Montante Finale</t>
  </si>
  <si>
    <t>Versamenti</t>
  </si>
  <si>
    <t>Stipendio mensile</t>
  </si>
  <si>
    <t>Per me</t>
  </si>
  <si>
    <t>Interessi Mensili</t>
  </si>
  <si>
    <t>Interessi Annuali</t>
  </si>
  <si>
    <t>Capitale Iniziale - Interessi</t>
  </si>
  <si>
    <t>Montante Finale se prendo interessi</t>
  </si>
  <si>
    <t>Interessi Finali</t>
  </si>
  <si>
    <t>Interessi Finali se prendo interessi prima</t>
  </si>
  <si>
    <t>sabato, 09/05/2025</t>
  </si>
  <si>
    <t>giovedì, 08/05/2025</t>
  </si>
  <si>
    <t>edin.eusebio</t>
  </si>
  <si>
    <t>Amsterdam, Paesi Bassi</t>
  </si>
  <si>
    <t>ASSOLUTO</t>
  </si>
  <si>
    <t>PARZIALE</t>
  </si>
  <si>
    <t>TOT- ANNULLATI + RIMBORSATI</t>
  </si>
  <si>
    <t xml:space="preserve">TOT ASSOLUTO </t>
  </si>
  <si>
    <t>Capire grosse spesa</t>
  </si>
  <si>
    <t>Casa</t>
  </si>
  <si>
    <t>Macchine</t>
  </si>
  <si>
    <t>Imprevisti</t>
  </si>
  <si>
    <t>Assicurazioni</t>
  </si>
  <si>
    <t>La domanda è:
si riesce a risparmiare 
esattamente la metà dello stipendio</t>
  </si>
  <si>
    <t>martedì, 13/05/2025</t>
  </si>
  <si>
    <t>T-shirt newyork white</t>
  </si>
  <si>
    <t>T-shirt Soho</t>
  </si>
  <si>
    <t>T-shirt Carbonara</t>
  </si>
  <si>
    <t>mercoledì, 14/05/2025</t>
  </si>
  <si>
    <t>2 T-shirt</t>
  </si>
  <si>
    <t>12mag - 17mag</t>
  </si>
  <si>
    <t>19mag - 24mag</t>
  </si>
  <si>
    <t>26mag - 31mag</t>
  </si>
  <si>
    <t>FEBB</t>
  </si>
  <si>
    <t>MARZ</t>
  </si>
  <si>
    <t>APRI</t>
  </si>
  <si>
    <t>MAGG</t>
  </si>
  <si>
    <t>2giu - 7giu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</si>
</sst>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* #,##0.00\ &quot;€&quot;_-;\-* #,##0.00\ &quot;€&quot;_-;_-* &quot;-&quot;??\ &quot;€&quot;_-;_-@_-"/>
    <numFmt numFmtId="164" formatCode="_-* #,##0.00\ [$€-410]_-;\-* #,##0.00\ [$€-410]_-;_-* &quot;-&quot;??\ [$€-410]_-;_-@"/>
    <numFmt numFmtId="165" formatCode="dddd\,\ dd/mm/yyyy"/>
    <numFmt numFmtId="166" formatCode="#,##0.00\ &quot;€&quot;"/>
    <numFmt numFmtId="167" formatCode="dddd\,\ dd/mm/yy"/>
    <numFmt numFmtId="168" formatCode="0\ &quot;anni&quot;"/>
    <numFmt numFmtId="169" formatCode="0\ &quot;mesi&quot;"/>
  </numFmts>
  <fonts count="6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1F3864"/>
      <name val="Calibri"/>
    </font>
    <font>
      <sz val="12"/>
      <color rgb="FF1F3864"/>
      <name val="Arial"/>
    </font>
    <font>
      <sz val="11"/>
      <color theme="0"/>
      <name val="Calibri"/>
    </font>
    <font>
      <sz val="12"/>
      <color theme="1"/>
      <name val="Arial"/>
    </font>
    <font>
      <sz val="11"/>
      <color rgb="FFFF0000"/>
      <name val="Calibri"/>
    </font>
    <font>
      <sz val="14"/>
      <color theme="0"/>
      <name val="Overlock"/>
    </font>
    <font>
      <sz val="11"/>
      <color theme="1"/>
      <name val="Calibri"/>
      <family val="2"/>
    </font>
    <font>
      <sz val="8"/>
      <name val="Calibri"/>
      <scheme val="minor"/>
    </font>
    <font>
      <sz val="11"/>
      <color theme="0"/>
      <name val="Calibri"/>
      <family val="2"/>
      <scheme val="minor"/>
    </font>
    <font>
      <sz val="16"/>
      <color theme="1"/>
      <name val="Berlin Sans FB"/>
      <family val="2"/>
    </font>
    <font>
      <sz val="22"/>
      <color theme="0"/>
      <name val="Overlock"/>
    </font>
    <font>
      <sz val="8"/>
      <name val="Calibri"/>
      <family val="2"/>
      <scheme val="minor"/>
    </font>
    <font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9" tint="0.59999389629810485"/>
      <name val="Calibri"/>
      <family val="2"/>
    </font>
    <font>
      <b/>
      <i/>
      <sz val="11"/>
      <color theme="9" tint="-0.499984740745262"/>
      <name val="Calibri"/>
      <family val="2"/>
    </font>
    <font>
      <b/>
      <sz val="11"/>
      <color rgb="FFFFC000"/>
      <name val="Calibri"/>
      <family val="2"/>
    </font>
    <font>
      <sz val="11"/>
      <color theme="1"/>
      <name val="Aptos"/>
      <family val="2"/>
    </font>
    <font>
      <b/>
      <i/>
      <u/>
      <sz val="11"/>
      <color theme="9" tint="0.59999389629810485"/>
      <name val="Aptos"/>
      <family val="2"/>
    </font>
    <font>
      <sz val="11"/>
      <color theme="9" tint="0.59999389629810485"/>
      <name val="Aptos"/>
      <family val="2"/>
    </font>
    <font>
      <b/>
      <sz val="11"/>
      <color theme="3" tint="4.9989318521683403E-2"/>
      <name val="Aptos"/>
      <family val="2"/>
    </font>
    <font>
      <b/>
      <i/>
      <u/>
      <sz val="11"/>
      <color theme="9" tint="-0.499984740745262"/>
      <name val="Aptos"/>
      <family val="2"/>
    </font>
    <font>
      <b/>
      <i/>
      <sz val="11"/>
      <color theme="9" tint="-0.499984740745262"/>
      <name val="Aptos"/>
      <family val="2"/>
    </font>
    <font>
      <b/>
      <sz val="11"/>
      <color rgb="FFFFC000"/>
      <name val="Aptos"/>
      <family val="2"/>
    </font>
    <font>
      <b/>
      <i/>
      <u/>
      <sz val="11"/>
      <color theme="1"/>
      <name val="Aptos"/>
      <family val="2"/>
    </font>
    <font>
      <b/>
      <i/>
      <sz val="11"/>
      <color theme="1"/>
      <name val="Aptos"/>
      <family val="2"/>
    </font>
    <font>
      <sz val="11"/>
      <color theme="1"/>
      <name val="Overlock"/>
    </font>
    <font>
      <b/>
      <sz val="11"/>
      <color theme="4" tint="0.39997558519241921"/>
      <name val="Aptos"/>
      <family val="2"/>
    </font>
    <font>
      <b/>
      <sz val="11"/>
      <color theme="5" tint="-0.249977111117893"/>
      <name val="Aptos"/>
      <family val="2"/>
    </font>
    <font>
      <b/>
      <sz val="11"/>
      <color theme="1"/>
      <name val="Aptos"/>
      <family val="2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5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5"/>
      <name val="Aptos"/>
      <family val="2"/>
    </font>
    <font>
      <b/>
      <sz val="11"/>
      <color theme="0"/>
      <name val="Aptos"/>
      <family val="2"/>
    </font>
    <font>
      <sz val="11"/>
      <color theme="4" tint="-0.499984740745262"/>
      <name val="Calibri"/>
      <family val="2"/>
    </font>
    <font>
      <sz val="12"/>
      <color theme="4" tint="-0.499984740745262"/>
      <name val="Arial"/>
      <family val="2"/>
    </font>
    <font>
      <u/>
      <sz val="11"/>
      <color theme="1"/>
      <name val="Aptos"/>
      <family val="2"/>
    </font>
    <font>
      <i/>
      <sz val="11"/>
      <color theme="1"/>
      <name val="Calibri"/>
      <family val="2"/>
    </font>
    <font>
      <u/>
      <sz val="11"/>
      <color theme="1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9CC2E5"/>
        <bgColor rgb="FF9CC2E5"/>
      </patternFill>
    </fill>
    <fill>
      <patternFill patternType="solid">
        <fgColor rgb="FF2E75B5"/>
        <bgColor rgb="FF2E75B5"/>
      </patternFill>
    </fill>
    <fill>
      <patternFill patternType="solid">
        <fgColor rgb="FF00B0F0"/>
        <bgColor rgb="FF00B0F0"/>
      </patternFill>
    </fill>
    <fill>
      <patternFill patternType="solid">
        <fgColor rgb="FFA5A5A5"/>
        <bgColor rgb="FFA5A5A5"/>
      </patternFill>
    </fill>
    <fill>
      <patternFill patternType="solid">
        <fgColor rgb="FFE4E4E4"/>
        <bgColor rgb="FFE4E4E4"/>
      </patternFill>
    </fill>
    <fill>
      <patternFill patternType="solid">
        <fgColor theme="5"/>
        <bgColor theme="5"/>
      </patternFill>
    </fill>
    <fill>
      <patternFill patternType="solid">
        <fgColor rgb="FFF4B083"/>
        <bgColor rgb="FFF4B083"/>
      </patternFill>
    </fill>
    <fill>
      <patternFill patternType="solid">
        <fgColor theme="9"/>
        <bgColor theme="9"/>
      </patternFill>
    </fill>
    <fill>
      <patternFill patternType="solid">
        <fgColor rgb="FFA8D08D"/>
        <bgColor rgb="FFA8D08D"/>
      </patternFill>
    </fill>
    <fill>
      <patternFill patternType="solid">
        <fgColor rgb="FFFF0000"/>
        <bgColor rgb="FFFF0000"/>
      </patternFill>
    </fill>
    <fill>
      <patternFill patternType="solid">
        <fgColor rgb="FFFF7979"/>
        <bgColor rgb="FFFF7979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rgb="FF2F5496"/>
        <bgColor rgb="FF2F5496"/>
      </patternFill>
    </fill>
    <fill>
      <patternFill patternType="solid">
        <fgColor rgb="FFB4C6E7"/>
        <bgColor rgb="FFB4C6E7"/>
      </patternFill>
    </fill>
    <fill>
      <patternFill patternType="solid">
        <fgColor rgb="FFBDD6EE"/>
        <bgColor rgb="FFBDD6E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theme="9"/>
      </patternFill>
    </fill>
    <fill>
      <patternFill patternType="solid">
        <fgColor rgb="FF00B0F0"/>
        <bgColor rgb="FF9CC2E5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34998626667073579"/>
        <bgColor indexed="64"/>
      </patternFill>
    </fill>
  </fills>
  <borders count="10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auto="1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auto="1"/>
      </right>
      <top/>
      <bottom style="thin">
        <color rgb="FF000000"/>
      </bottom>
      <diagonal/>
    </border>
    <border>
      <left style="thin">
        <color rgb="FF000000"/>
      </left>
      <right style="thick">
        <color auto="1"/>
      </right>
      <top style="thin">
        <color rgb="FF000000"/>
      </top>
      <bottom style="thin">
        <color rgb="FF000000"/>
      </bottom>
      <diagonal/>
    </border>
    <border>
      <left/>
      <right style="thick">
        <color auto="1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auto="1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rgb="FF000000"/>
      </right>
      <top style="thick">
        <color auto="1"/>
      </top>
      <bottom style="thin">
        <color rgb="FF000000"/>
      </bottom>
      <diagonal/>
    </border>
    <border>
      <left style="thin">
        <color rgb="FF000000"/>
      </left>
      <right/>
      <top style="thick">
        <color auto="1"/>
      </top>
      <bottom style="thin">
        <color rgb="FF000000"/>
      </bottom>
      <diagonal/>
    </border>
    <border>
      <left/>
      <right style="thick">
        <color auto="1"/>
      </right>
      <top style="thick">
        <color auto="1"/>
      </top>
      <bottom style="thin">
        <color rgb="FF000000"/>
      </bottom>
      <diagonal/>
    </border>
    <border>
      <left style="thick">
        <color auto="1"/>
      </left>
      <right style="thin">
        <color rgb="FF000000"/>
      </right>
      <top/>
      <bottom style="thick">
        <color rgb="FF000000"/>
      </bottom>
      <diagonal/>
    </border>
    <border>
      <left style="thick">
        <color auto="1"/>
      </left>
      <right style="thin">
        <color indexed="64"/>
      </right>
      <top/>
      <bottom style="thick">
        <color indexed="64"/>
      </bottom>
      <diagonal/>
    </border>
    <border>
      <left style="thin">
        <color rgb="FF000000"/>
      </left>
      <right style="thick">
        <color auto="1"/>
      </right>
      <top style="thin">
        <color rgb="FF000000"/>
      </top>
      <bottom style="thick">
        <color indexed="64"/>
      </bottom>
      <diagonal/>
    </border>
    <border>
      <left style="thick">
        <color auto="1"/>
      </left>
      <right style="thin">
        <color indexed="64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auto="1"/>
      </bottom>
      <diagonal/>
    </border>
    <border>
      <left style="thin">
        <color rgb="FF000000"/>
      </left>
      <right style="thick">
        <color auto="1"/>
      </right>
      <top/>
      <bottom style="thick">
        <color auto="1"/>
      </bottom>
      <diagonal/>
    </border>
    <border>
      <left style="thick">
        <color rgb="FF000000"/>
      </left>
      <right style="thin">
        <color rgb="FF000000"/>
      </right>
      <top style="thick">
        <color indexed="64"/>
      </top>
      <bottom style="thick">
        <color auto="1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 style="thin">
        <color rgb="FF000000"/>
      </left>
      <right style="thick">
        <color rgb="FF000000"/>
      </right>
      <top style="thick">
        <color indexed="64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auto="1"/>
      </right>
      <top style="thick">
        <color indexed="64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auto="1"/>
      </left>
      <right/>
      <top style="thick">
        <color auto="1"/>
      </top>
      <bottom style="thin">
        <color indexed="64"/>
      </bottom>
      <diagonal/>
    </border>
    <border>
      <left/>
      <right/>
      <top style="thick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422">
    <xf numFmtId="0" fontId="0" fillId="0" borderId="0" xfId="0"/>
    <xf numFmtId="49" fontId="20" fillId="0" borderId="0" xfId="0" applyNumberFormat="1" applyFont="1"/>
    <xf numFmtId="0" fontId="23" fillId="5" borderId="2" xfId="0" applyFont="1" applyFill="1" applyBorder="1"/>
    <xf numFmtId="164" fontId="20" fillId="0" borderId="2" xfId="0" applyNumberFormat="1" applyFont="1" applyBorder="1"/>
    <xf numFmtId="0" fontId="23" fillId="4" borderId="2" xfId="0" applyFont="1" applyFill="1" applyBorder="1"/>
    <xf numFmtId="0" fontId="25" fillId="0" borderId="0" xfId="0" applyFont="1"/>
    <xf numFmtId="0" fontId="20" fillId="0" borderId="0" xfId="0" applyFont="1" applyAlignment="1">
      <alignment horizontal="center" vertical="center"/>
    </xf>
    <xf numFmtId="49" fontId="20" fillId="4" borderId="10" xfId="0" applyNumberFormat="1" applyFont="1" applyFill="1" applyBorder="1"/>
    <xf numFmtId="0" fontId="20" fillId="4" borderId="11" xfId="0" applyFont="1" applyFill="1" applyBorder="1"/>
    <xf numFmtId="0" fontId="20" fillId="4" borderId="12" xfId="0" applyFont="1" applyFill="1" applyBorder="1"/>
    <xf numFmtId="49" fontId="21" fillId="5" borderId="13" xfId="0" applyNumberFormat="1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/>
    </xf>
    <xf numFmtId="0" fontId="21" fillId="5" borderId="9" xfId="0" applyFont="1" applyFill="1" applyBorder="1" applyAlignment="1">
      <alignment horizontal="center"/>
    </xf>
    <xf numFmtId="0" fontId="21" fillId="5" borderId="14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 vertical="center" wrapText="1"/>
    </xf>
    <xf numFmtId="49" fontId="20" fillId="3" borderId="13" xfId="0" applyNumberFormat="1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/>
    </xf>
    <xf numFmtId="0" fontId="20" fillId="3" borderId="14" xfId="0" applyFont="1" applyFill="1" applyBorder="1" applyAlignment="1">
      <alignment horizontal="center"/>
    </xf>
    <xf numFmtId="49" fontId="23" fillId="4" borderId="15" xfId="0" applyNumberFormat="1" applyFont="1" applyFill="1" applyBorder="1" applyAlignment="1">
      <alignment horizontal="center"/>
    </xf>
    <xf numFmtId="49" fontId="23" fillId="4" borderId="16" xfId="0" applyNumberFormat="1" applyFont="1" applyFill="1" applyBorder="1" applyAlignment="1">
      <alignment horizontal="center"/>
    </xf>
    <xf numFmtId="0" fontId="23" fillId="4" borderId="16" xfId="0" applyFont="1" applyFill="1" applyBorder="1" applyAlignment="1">
      <alignment horizontal="center"/>
    </xf>
    <xf numFmtId="0" fontId="23" fillId="4" borderId="17" xfId="0" applyFont="1" applyFill="1" applyBorder="1" applyAlignment="1">
      <alignment horizontal="center"/>
    </xf>
    <xf numFmtId="166" fontId="27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26" fillId="5" borderId="30" xfId="0" applyFont="1" applyFill="1" applyBorder="1" applyAlignment="1">
      <alignment horizontal="center" vertical="center"/>
    </xf>
    <xf numFmtId="0" fontId="26" fillId="5" borderId="31" xfId="0" applyFont="1" applyFill="1" applyBorder="1" applyAlignment="1">
      <alignment horizontal="center" vertical="center"/>
    </xf>
    <xf numFmtId="166" fontId="27" fillId="20" borderId="1" xfId="0" applyNumberFormat="1" applyFont="1" applyFill="1" applyBorder="1" applyAlignment="1">
      <alignment horizontal="center" vertical="center"/>
    </xf>
    <xf numFmtId="0" fontId="29" fillId="2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166" fontId="27" fillId="0" borderId="40" xfId="0" applyNumberFormat="1" applyFont="1" applyBorder="1" applyAlignment="1">
      <alignment horizontal="center" vertical="center"/>
    </xf>
    <xf numFmtId="0" fontId="27" fillId="18" borderId="42" xfId="0" applyFont="1" applyFill="1" applyBorder="1" applyAlignment="1">
      <alignment horizontal="center" vertical="center"/>
    </xf>
    <xf numFmtId="166" fontId="27" fillId="0" borderId="5" xfId="0" applyNumberFormat="1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166" fontId="27" fillId="20" borderId="62" xfId="0" applyNumberFormat="1" applyFont="1" applyFill="1" applyBorder="1" applyAlignment="1">
      <alignment horizontal="center" vertical="center"/>
    </xf>
    <xf numFmtId="166" fontId="27" fillId="0" borderId="61" xfId="0" applyNumberFormat="1" applyFont="1" applyBorder="1" applyAlignment="1">
      <alignment horizontal="center" vertical="center"/>
    </xf>
    <xf numFmtId="0" fontId="27" fillId="20" borderId="62" xfId="0" applyFont="1" applyFill="1" applyBorder="1" applyAlignment="1">
      <alignment horizontal="center" vertical="center"/>
    </xf>
    <xf numFmtId="166" fontId="27" fillId="18" borderId="63" xfId="0" applyNumberFormat="1" applyFont="1" applyFill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166" fontId="27" fillId="0" borderId="9" xfId="0" applyNumberFormat="1" applyFont="1" applyBorder="1" applyAlignment="1">
      <alignment horizontal="center" vertical="center"/>
    </xf>
    <xf numFmtId="166" fontId="27" fillId="0" borderId="18" xfId="0" applyNumberFormat="1" applyFont="1" applyBorder="1" applyAlignment="1">
      <alignment horizontal="center" vertical="center"/>
    </xf>
    <xf numFmtId="0" fontId="18" fillId="0" borderId="0" xfId="0" applyFont="1"/>
    <xf numFmtId="166" fontId="27" fillId="20" borderId="61" xfId="0" applyNumberFormat="1" applyFont="1" applyFill="1" applyBorder="1" applyAlignment="1">
      <alignment horizontal="center" vertical="center"/>
    </xf>
    <xf numFmtId="0" fontId="27" fillId="20" borderId="9" xfId="0" applyFont="1" applyFill="1" applyBorder="1" applyAlignment="1">
      <alignment horizontal="center" vertical="center"/>
    </xf>
    <xf numFmtId="166" fontId="27" fillId="20" borderId="9" xfId="0" applyNumberFormat="1" applyFont="1" applyFill="1" applyBorder="1" applyAlignment="1">
      <alignment horizontal="center" vertical="center"/>
    </xf>
    <xf numFmtId="166" fontId="27" fillId="20" borderId="18" xfId="0" applyNumberFormat="1" applyFont="1" applyFill="1" applyBorder="1" applyAlignment="1">
      <alignment horizontal="center" vertical="center"/>
    </xf>
    <xf numFmtId="0" fontId="33" fillId="4" borderId="2" xfId="0" applyFont="1" applyFill="1" applyBorder="1"/>
    <xf numFmtId="0" fontId="16" fillId="0" borderId="0" xfId="0" applyFont="1"/>
    <xf numFmtId="0" fontId="0" fillId="0" borderId="0" xfId="0" applyAlignment="1">
      <alignment horizontal="center" vertical="center"/>
    </xf>
    <xf numFmtId="0" fontId="16" fillId="0" borderId="63" xfId="0" applyFont="1" applyBorder="1" applyAlignment="1">
      <alignment horizontal="center" vertical="center"/>
    </xf>
    <xf numFmtId="0" fontId="34" fillId="26" borderId="37" xfId="0" applyFont="1" applyFill="1" applyBorder="1" applyAlignment="1">
      <alignment horizontal="center" vertical="center"/>
    </xf>
    <xf numFmtId="0" fontId="34" fillId="26" borderId="19" xfId="0" applyFont="1" applyFill="1" applyBorder="1" applyAlignment="1">
      <alignment horizontal="center" vertical="center"/>
    </xf>
    <xf numFmtId="167" fontId="0" fillId="25" borderId="75" xfId="0" applyNumberFormat="1" applyFill="1" applyBorder="1" applyAlignment="1">
      <alignment horizontal="center" vertical="center"/>
    </xf>
    <xf numFmtId="0" fontId="0" fillId="25" borderId="75" xfId="0" applyFill="1" applyBorder="1" applyAlignment="1">
      <alignment horizontal="center" vertical="center"/>
    </xf>
    <xf numFmtId="0" fontId="0" fillId="24" borderId="75" xfId="0" applyFill="1" applyBorder="1" applyAlignment="1">
      <alignment horizontal="center" vertical="center"/>
    </xf>
    <xf numFmtId="0" fontId="0" fillId="24" borderId="78" xfId="0" applyFill="1" applyBorder="1" applyAlignment="1">
      <alignment horizontal="center" vertical="center"/>
    </xf>
    <xf numFmtId="167" fontId="0" fillId="25" borderId="11" xfId="0" applyNumberFormat="1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0" fillId="25" borderId="20" xfId="0" applyFill="1" applyBorder="1" applyAlignment="1">
      <alignment horizontal="center" vertical="center"/>
    </xf>
    <xf numFmtId="167" fontId="0" fillId="25" borderId="9" xfId="0" applyNumberFormat="1" applyFill="1" applyBorder="1" applyAlignment="1">
      <alignment horizontal="center" vertical="center"/>
    </xf>
    <xf numFmtId="0" fontId="0" fillId="25" borderId="9" xfId="0" applyFill="1" applyBorder="1" applyAlignment="1">
      <alignment horizontal="center" vertical="center"/>
    </xf>
    <xf numFmtId="0" fontId="0" fillId="25" borderId="18" xfId="0" applyFill="1" applyBorder="1" applyAlignment="1">
      <alignment horizontal="center" vertical="center"/>
    </xf>
    <xf numFmtId="167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 applyAlignment="1">
      <alignment horizontal="center" vertical="center"/>
    </xf>
    <xf numFmtId="0" fontId="0" fillId="24" borderId="18" xfId="0" applyFill="1" applyBorder="1" applyAlignment="1">
      <alignment horizontal="center" vertical="center"/>
    </xf>
    <xf numFmtId="167" fontId="0" fillId="24" borderId="37" xfId="0" applyNumberFormat="1" applyFill="1" applyBorder="1" applyAlignment="1">
      <alignment horizontal="center" vertical="center"/>
    </xf>
    <xf numFmtId="0" fontId="0" fillId="24" borderId="37" xfId="0" applyFill="1" applyBorder="1" applyAlignment="1">
      <alignment horizontal="center" vertical="center"/>
    </xf>
    <xf numFmtId="0" fontId="0" fillId="24" borderId="19" xfId="0" applyFill="1" applyBorder="1" applyAlignment="1">
      <alignment horizontal="center" vertical="center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0" applyFill="1" applyBorder="1" applyAlignment="1">
      <alignment horizontal="center" vertical="center"/>
    </xf>
    <xf numFmtId="0" fontId="0" fillId="24" borderId="20" xfId="0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20" fillId="0" borderId="20" xfId="0" applyFont="1" applyBorder="1" applyAlignment="1">
      <alignment vertical="center"/>
    </xf>
    <xf numFmtId="0" fontId="27" fillId="0" borderId="23" xfId="0" applyFont="1" applyBorder="1" applyAlignment="1">
      <alignment vertical="center"/>
    </xf>
    <xf numFmtId="0" fontId="20" fillId="3" borderId="20" xfId="0" applyFont="1" applyFill="1" applyBorder="1" applyAlignment="1">
      <alignment vertical="center"/>
    </xf>
    <xf numFmtId="0" fontId="20" fillId="3" borderId="18" xfId="0" applyFont="1" applyFill="1" applyBorder="1" applyAlignment="1">
      <alignment vertical="center"/>
    </xf>
    <xf numFmtId="0" fontId="20" fillId="3" borderId="24" xfId="0" applyFont="1" applyFill="1" applyBorder="1" applyAlignment="1">
      <alignment vertical="center"/>
    </xf>
    <xf numFmtId="0" fontId="20" fillId="0" borderId="18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7" fillId="0" borderId="24" xfId="0" applyFont="1" applyBorder="1" applyAlignment="1">
      <alignment vertical="center" wrapText="1"/>
    </xf>
    <xf numFmtId="0" fontId="20" fillId="19" borderId="19" xfId="0" applyFont="1" applyFill="1" applyBorder="1" applyAlignment="1">
      <alignment vertical="center"/>
    </xf>
    <xf numFmtId="0" fontId="20" fillId="19" borderId="22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27" fillId="19" borderId="24" xfId="0" applyFont="1" applyFill="1" applyBorder="1" applyAlignment="1">
      <alignment vertical="center"/>
    </xf>
    <xf numFmtId="0" fontId="20" fillId="3" borderId="19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30" fillId="2" borderId="19" xfId="0" applyFont="1" applyFill="1" applyBorder="1" applyAlignment="1">
      <alignment vertical="center"/>
    </xf>
    <xf numFmtId="0" fontId="30" fillId="2" borderId="22" xfId="0" applyFont="1" applyFill="1" applyBorder="1" applyAlignment="1">
      <alignment vertical="center"/>
    </xf>
    <xf numFmtId="0" fontId="14" fillId="0" borderId="25" xfId="0" applyFont="1" applyBorder="1" applyAlignment="1">
      <alignment horizontal="center" vertical="center"/>
    </xf>
    <xf numFmtId="0" fontId="12" fillId="0" borderId="0" xfId="0" applyFont="1"/>
    <xf numFmtId="0" fontId="35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8" fillId="18" borderId="5" xfId="0" applyFont="1" applyFill="1" applyBorder="1" applyAlignment="1">
      <alignment horizontal="center" vertical="center"/>
    </xf>
    <xf numFmtId="0" fontId="38" fillId="18" borderId="1" xfId="0" applyFont="1" applyFill="1" applyBorder="1" applyAlignment="1">
      <alignment horizontal="center" vertical="center"/>
    </xf>
    <xf numFmtId="0" fontId="38" fillId="18" borderId="4" xfId="0" applyFont="1" applyFill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0" fontId="38" fillId="0" borderId="16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38" fillId="0" borderId="35" xfId="0" applyFont="1" applyBorder="1" applyAlignment="1">
      <alignment horizontal="center" vertical="center"/>
    </xf>
    <xf numFmtId="0" fontId="38" fillId="23" borderId="37" xfId="0" applyFont="1" applyFill="1" applyBorder="1" applyAlignment="1">
      <alignment horizontal="center" vertical="center" wrapText="1"/>
    </xf>
    <xf numFmtId="0" fontId="39" fillId="23" borderId="37" xfId="0" applyFont="1" applyFill="1" applyBorder="1" applyAlignment="1">
      <alignment horizontal="center" vertical="center" wrapText="1"/>
    </xf>
    <xf numFmtId="0" fontId="38" fillId="0" borderId="59" xfId="0" applyFont="1" applyBorder="1" applyAlignment="1">
      <alignment horizontal="center" vertical="center"/>
    </xf>
    <xf numFmtId="0" fontId="38" fillId="0" borderId="58" xfId="0" applyFont="1" applyBorder="1" applyAlignment="1">
      <alignment horizontal="center" vertical="center"/>
    </xf>
    <xf numFmtId="0" fontId="41" fillId="0" borderId="58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42" fillId="29" borderId="1" xfId="0" applyFont="1" applyFill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45" fillId="0" borderId="8" xfId="0" applyFont="1" applyBorder="1" applyAlignment="1">
      <alignment horizontal="center" vertical="center"/>
    </xf>
    <xf numFmtId="0" fontId="38" fillId="0" borderId="37" xfId="0" applyFont="1" applyBorder="1" applyAlignment="1">
      <alignment horizontal="center" vertical="center"/>
    </xf>
    <xf numFmtId="0" fontId="42" fillId="0" borderId="37" xfId="0" applyFont="1" applyBorder="1" applyAlignment="1">
      <alignment horizontal="center" vertical="center"/>
    </xf>
    <xf numFmtId="0" fontId="38" fillId="0" borderId="82" xfId="0" applyFont="1" applyBorder="1"/>
    <xf numFmtId="0" fontId="38" fillId="0" borderId="70" xfId="0" applyFont="1" applyBorder="1" applyAlignment="1">
      <alignment horizontal="center" vertical="center"/>
    </xf>
    <xf numFmtId="0" fontId="42" fillId="29" borderId="70" xfId="0" applyFont="1" applyFill="1" applyBorder="1" applyAlignment="1">
      <alignment horizontal="center" vertical="center"/>
    </xf>
    <xf numFmtId="165" fontId="38" fillId="0" borderId="5" xfId="0" applyNumberFormat="1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1" fillId="0" borderId="0" xfId="0" applyFont="1"/>
    <xf numFmtId="165" fontId="38" fillId="0" borderId="1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166" fontId="27" fillId="7" borderId="1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166" fontId="27" fillId="9" borderId="1" xfId="0" applyNumberFormat="1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166" fontId="27" fillId="11" borderId="1" xfId="0" applyNumberFormat="1" applyFont="1" applyFill="1" applyBorder="1" applyAlignment="1">
      <alignment horizontal="center" vertical="center"/>
    </xf>
    <xf numFmtId="0" fontId="27" fillId="11" borderId="6" xfId="0" applyFont="1" applyFill="1" applyBorder="1" applyAlignment="1">
      <alignment horizontal="center" vertical="center"/>
    </xf>
    <xf numFmtId="165" fontId="38" fillId="0" borderId="4" xfId="0" applyNumberFormat="1" applyFont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166" fontId="27" fillId="13" borderId="1" xfId="0" applyNumberFormat="1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166" fontId="27" fillId="15" borderId="1" xfId="0" applyNumberFormat="1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horizontal="center" vertical="center"/>
    </xf>
    <xf numFmtId="166" fontId="27" fillId="17" borderId="1" xfId="0" applyNumberFormat="1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7" fillId="0" borderId="36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166" fontId="27" fillId="0" borderId="27" xfId="0" applyNumberFormat="1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27" fillId="18" borderId="7" xfId="0" applyFont="1" applyFill="1" applyBorder="1" applyAlignment="1">
      <alignment horizontal="center" vertical="center"/>
    </xf>
    <xf numFmtId="0" fontId="27" fillId="20" borderId="1" xfId="0" applyFont="1" applyFill="1" applyBorder="1" applyAlignment="1">
      <alignment horizontal="center" vertical="center"/>
    </xf>
    <xf numFmtId="166" fontId="27" fillId="18" borderId="28" xfId="0" applyNumberFormat="1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166" fontId="27" fillId="0" borderId="28" xfId="0" applyNumberFormat="1" applyFont="1" applyBorder="1" applyAlignment="1">
      <alignment horizontal="center" vertical="center"/>
    </xf>
    <xf numFmtId="165" fontId="42" fillId="29" borderId="4" xfId="0" applyNumberFormat="1" applyFont="1" applyFill="1" applyBorder="1" applyAlignment="1">
      <alignment horizontal="center" vertical="center"/>
    </xf>
    <xf numFmtId="165" fontId="50" fillId="0" borderId="11" xfId="0" applyNumberFormat="1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166" fontId="27" fillId="0" borderId="51" xfId="0" applyNumberFormat="1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/>
    </xf>
    <xf numFmtId="0" fontId="27" fillId="20" borderId="4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27" fillId="20" borderId="3" xfId="0" applyFont="1" applyFill="1" applyBorder="1" applyAlignment="1">
      <alignment horizontal="center" vertical="center"/>
    </xf>
    <xf numFmtId="0" fontId="27" fillId="20" borderId="43" xfId="0" applyFont="1" applyFill="1" applyBorder="1" applyAlignment="1">
      <alignment horizontal="center" vertical="center"/>
    </xf>
    <xf numFmtId="0" fontId="11" fillId="20" borderId="37" xfId="0" applyFont="1" applyFill="1" applyBorder="1" applyAlignment="1">
      <alignment horizontal="center"/>
    </xf>
    <xf numFmtId="44" fontId="11" fillId="20" borderId="37" xfId="0" applyNumberFormat="1" applyFont="1" applyFill="1" applyBorder="1" applyAlignment="1">
      <alignment horizontal="center" vertical="center"/>
    </xf>
    <xf numFmtId="0" fontId="11" fillId="20" borderId="37" xfId="0" applyFont="1" applyFill="1" applyBorder="1" applyAlignment="1">
      <alignment horizontal="center" vertical="center"/>
    </xf>
    <xf numFmtId="44" fontId="11" fillId="20" borderId="19" xfId="0" applyNumberFormat="1" applyFont="1" applyFill="1" applyBorder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/>
    </xf>
    <xf numFmtId="166" fontId="27" fillId="0" borderId="53" xfId="0" applyNumberFormat="1" applyFont="1" applyBorder="1" applyAlignment="1">
      <alignment horizontal="center" vertical="center"/>
    </xf>
    <xf numFmtId="166" fontId="27" fillId="0" borderId="54" xfId="0" applyNumberFormat="1" applyFont="1" applyBorder="1" applyAlignment="1">
      <alignment horizontal="center" vertical="center"/>
    </xf>
    <xf numFmtId="165" fontId="38" fillId="0" borderId="11" xfId="0" applyNumberFormat="1" applyFont="1" applyBorder="1" applyAlignment="1">
      <alignment horizontal="center" vertical="center"/>
    </xf>
    <xf numFmtId="165" fontId="38" fillId="0" borderId="16" xfId="0" applyNumberFormat="1" applyFont="1" applyBorder="1" applyAlignment="1">
      <alignment horizontal="center" vertical="center"/>
    </xf>
    <xf numFmtId="165" fontId="38" fillId="23" borderId="37" xfId="0" applyNumberFormat="1" applyFont="1" applyFill="1" applyBorder="1" applyAlignment="1">
      <alignment horizontal="center" vertical="center" wrapText="1"/>
    </xf>
    <xf numFmtId="165" fontId="38" fillId="0" borderId="58" xfId="0" applyNumberFormat="1" applyFont="1" applyBorder="1" applyAlignment="1">
      <alignment horizontal="center" vertical="center"/>
    </xf>
    <xf numFmtId="165" fontId="38" fillId="0" borderId="8" xfId="0" applyNumberFormat="1" applyFont="1" applyBorder="1" applyAlignment="1">
      <alignment horizontal="center" vertical="center"/>
    </xf>
    <xf numFmtId="165" fontId="38" fillId="0" borderId="37" xfId="0" applyNumberFormat="1" applyFont="1" applyBorder="1" applyAlignment="1">
      <alignment horizontal="center" vertical="center"/>
    </xf>
    <xf numFmtId="165" fontId="38" fillId="0" borderId="70" xfId="0" applyNumberFormat="1" applyFont="1" applyBorder="1" applyAlignment="1">
      <alignment horizontal="center" vertical="center"/>
    </xf>
    <xf numFmtId="167" fontId="38" fillId="0" borderId="1" xfId="0" applyNumberFormat="1" applyFont="1" applyBorder="1" applyAlignment="1">
      <alignment horizontal="center" vertical="center"/>
    </xf>
    <xf numFmtId="167" fontId="29" fillId="28" borderId="70" xfId="0" applyNumberFormat="1" applyFont="1" applyFill="1" applyBorder="1" applyAlignment="1">
      <alignment horizontal="center" vertical="center"/>
    </xf>
    <xf numFmtId="0" fontId="29" fillId="28" borderId="70" xfId="0" applyFont="1" applyFill="1" applyBorder="1" applyAlignment="1">
      <alignment horizontal="center" vertical="center"/>
    </xf>
    <xf numFmtId="0" fontId="29" fillId="28" borderId="21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9" fillId="28" borderId="70" xfId="0" applyFont="1" applyFill="1" applyBorder="1" applyAlignment="1">
      <alignment horizontal="center" vertical="center" wrapText="1"/>
    </xf>
    <xf numFmtId="0" fontId="10" fillId="25" borderId="9" xfId="0" applyFont="1" applyFill="1" applyBorder="1" applyAlignment="1">
      <alignment vertical="center"/>
    </xf>
    <xf numFmtId="0" fontId="51" fillId="31" borderId="9" xfId="0" applyFont="1" applyFill="1" applyBorder="1" applyAlignment="1">
      <alignment horizontal="center" vertical="center"/>
    </xf>
    <xf numFmtId="0" fontId="51" fillId="31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25" borderId="9" xfId="0" applyFont="1" applyFill="1" applyBorder="1" applyAlignment="1">
      <alignment horizontal="center" vertical="center"/>
    </xf>
    <xf numFmtId="0" fontId="10" fillId="25" borderId="9" xfId="0" applyFont="1" applyFill="1" applyBorder="1" applyAlignment="1">
      <alignment horizontal="center" vertical="center" wrapText="1"/>
    </xf>
    <xf numFmtId="0" fontId="10" fillId="30" borderId="9" xfId="0" applyFont="1" applyFill="1" applyBorder="1" applyAlignment="1">
      <alignment horizontal="center" vertical="center"/>
    </xf>
    <xf numFmtId="0" fontId="51" fillId="31" borderId="14" xfId="0" applyFont="1" applyFill="1" applyBorder="1" applyAlignment="1">
      <alignment horizontal="center" vertical="center"/>
    </xf>
    <xf numFmtId="0" fontId="0" fillId="24" borderId="9" xfId="0" applyFill="1" applyBorder="1"/>
    <xf numFmtId="0" fontId="0" fillId="32" borderId="9" xfId="0" applyFill="1" applyBorder="1"/>
    <xf numFmtId="0" fontId="53" fillId="32" borderId="9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9" fillId="25" borderId="9" xfId="0" applyFont="1" applyFill="1" applyBorder="1" applyAlignment="1">
      <alignment horizontal="center" vertical="center"/>
    </xf>
    <xf numFmtId="0" fontId="53" fillId="25" borderId="9" xfId="0" applyFont="1" applyFill="1" applyBorder="1" applyAlignment="1">
      <alignment horizontal="center" vertical="center" wrapText="1"/>
    </xf>
    <xf numFmtId="0" fontId="9" fillId="25" borderId="9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2" xfId="0" applyBorder="1"/>
    <xf numFmtId="0" fontId="0" fillId="0" borderId="9" xfId="0" applyBorder="1"/>
    <xf numFmtId="0" fontId="0" fillId="0" borderId="16" xfId="0" applyBorder="1" applyAlignment="1">
      <alignment horizontal="center" vertical="center"/>
    </xf>
    <xf numFmtId="0" fontId="0" fillId="0" borderId="37" xfId="0" applyBorder="1"/>
    <xf numFmtId="0" fontId="0" fillId="0" borderId="78" xfId="0" applyBorder="1"/>
    <xf numFmtId="0" fontId="0" fillId="0" borderId="83" xfId="0" applyBorder="1"/>
    <xf numFmtId="0" fontId="0" fillId="0" borderId="18" xfId="0" applyBorder="1"/>
    <xf numFmtId="0" fontId="0" fillId="0" borderId="70" xfId="0" applyBorder="1" applyAlignment="1">
      <alignment horizontal="center" vertical="center" wrapText="1"/>
    </xf>
    <xf numFmtId="0" fontId="0" fillId="0" borderId="70" xfId="0" applyBorder="1"/>
    <xf numFmtId="0" fontId="0" fillId="0" borderId="21" xfId="0" applyBorder="1"/>
    <xf numFmtId="0" fontId="0" fillId="0" borderId="82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5" xfId="0" applyBorder="1"/>
    <xf numFmtId="0" fontId="9" fillId="0" borderId="25" xfId="0" applyFont="1" applyBorder="1" applyAlignment="1">
      <alignment horizontal="center" vertical="center"/>
    </xf>
    <xf numFmtId="0" fontId="9" fillId="0" borderId="9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5" borderId="9" xfId="0" applyFont="1" applyFill="1" applyBorder="1" applyAlignment="1">
      <alignment horizontal="center" vertical="center"/>
    </xf>
    <xf numFmtId="0" fontId="8" fillId="25" borderId="9" xfId="0" applyFont="1" applyFill="1" applyBorder="1" applyAlignment="1">
      <alignment horizontal="center" vertical="center" wrapText="1"/>
    </xf>
    <xf numFmtId="0" fontId="7" fillId="25" borderId="9" xfId="0" applyFont="1" applyFill="1" applyBorder="1" applyAlignment="1">
      <alignment horizontal="center" vertical="center"/>
    </xf>
    <xf numFmtId="0" fontId="7" fillId="25" borderId="9" xfId="0" applyFont="1" applyFill="1" applyBorder="1" applyAlignment="1">
      <alignment horizontal="center" vertical="center" wrapText="1"/>
    </xf>
    <xf numFmtId="0" fontId="6" fillId="25" borderId="9" xfId="0" applyFont="1" applyFill="1" applyBorder="1" applyAlignment="1">
      <alignment horizontal="center" vertical="center"/>
    </xf>
    <xf numFmtId="0" fontId="6" fillId="25" borderId="9" xfId="0" applyFont="1" applyFill="1" applyBorder="1" applyAlignment="1">
      <alignment horizontal="center" vertical="center" wrapText="1"/>
    </xf>
    <xf numFmtId="0" fontId="29" fillId="33" borderId="9" xfId="0" applyFont="1" applyFill="1" applyBorder="1" applyAlignment="1">
      <alignment horizontal="center" vertical="center" wrapText="1"/>
    </xf>
    <xf numFmtId="0" fontId="0" fillId="33" borderId="0" xfId="0" applyFill="1"/>
    <xf numFmtId="0" fontId="51" fillId="31" borderId="9" xfId="0" applyFont="1" applyFill="1" applyBorder="1" applyAlignment="1">
      <alignment vertical="center"/>
    </xf>
    <xf numFmtId="0" fontId="27" fillId="3" borderId="24" xfId="0" applyFont="1" applyFill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5" fillId="32" borderId="9" xfId="0" applyFont="1" applyFill="1" applyBorder="1" applyAlignment="1">
      <alignment horizontal="center" vertical="center" wrapText="1"/>
    </xf>
    <xf numFmtId="0" fontId="5" fillId="25" borderId="9" xfId="0" applyFont="1" applyFill="1" applyBorder="1" applyAlignment="1">
      <alignment horizontal="center" vertical="center" wrapText="1"/>
    </xf>
    <xf numFmtId="0" fontId="5" fillId="25" borderId="9" xfId="0" applyFont="1" applyFill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55" fillId="3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/>
    </xf>
    <xf numFmtId="0" fontId="4" fillId="20" borderId="37" xfId="0" applyFont="1" applyFill="1" applyBorder="1" applyAlignment="1">
      <alignment horizontal="center"/>
    </xf>
    <xf numFmtId="0" fontId="27" fillId="0" borderId="70" xfId="0" applyFont="1" applyBorder="1" applyAlignment="1">
      <alignment horizontal="center" vertical="center"/>
    </xf>
    <xf numFmtId="0" fontId="20" fillId="0" borderId="70" xfId="0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4" fillId="0" borderId="9" xfId="0" applyFont="1" applyBorder="1"/>
    <xf numFmtId="166" fontId="20" fillId="19" borderId="9" xfId="0" applyNumberFormat="1" applyFont="1" applyFill="1" applyBorder="1" applyAlignment="1">
      <alignment horizontal="center" vertical="center"/>
    </xf>
    <xf numFmtId="0" fontId="0" fillId="38" borderId="9" xfId="0" applyFill="1" applyBorder="1" applyAlignment="1">
      <alignment horizontal="center" vertical="center"/>
    </xf>
    <xf numFmtId="0" fontId="0" fillId="37" borderId="9" xfId="0" applyFill="1" applyBorder="1" applyAlignment="1">
      <alignment horizontal="center" vertical="center"/>
    </xf>
    <xf numFmtId="44" fontId="0" fillId="0" borderId="9" xfId="0" applyNumberFormat="1" applyBorder="1" applyAlignment="1">
      <alignment horizontal="center" vertical="center"/>
    </xf>
    <xf numFmtId="168" fontId="0" fillId="0" borderId="9" xfId="0" applyNumberFormat="1" applyBorder="1" applyAlignment="1">
      <alignment horizontal="center" vertical="center"/>
    </xf>
    <xf numFmtId="169" fontId="0" fillId="0" borderId="9" xfId="0" applyNumberFormat="1" applyBorder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0" fontId="44" fillId="27" borderId="42" xfId="0" applyFont="1" applyFill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44" fillId="29" borderId="37" xfId="0" applyFont="1" applyFill="1" applyBorder="1" applyAlignment="1">
      <alignment horizontal="center" vertical="center"/>
    </xf>
    <xf numFmtId="0" fontId="36" fillId="0" borderId="37" xfId="0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6" fillId="6" borderId="1" xfId="0" applyFont="1" applyFill="1" applyBorder="1" applyAlignment="1">
      <alignment horizontal="center" vertical="center"/>
    </xf>
    <xf numFmtId="0" fontId="56" fillId="8" borderId="1" xfId="0" applyFont="1" applyFill="1" applyBorder="1" applyAlignment="1">
      <alignment horizontal="center" vertical="center"/>
    </xf>
    <xf numFmtId="0" fontId="56" fillId="10" borderId="1" xfId="0" applyFont="1" applyFill="1" applyBorder="1" applyAlignment="1">
      <alignment horizontal="center" vertical="center"/>
    </xf>
    <xf numFmtId="0" fontId="56" fillId="12" borderId="1" xfId="0" applyFont="1" applyFill="1" applyBorder="1" applyAlignment="1">
      <alignment horizontal="center" vertical="center"/>
    </xf>
    <xf numFmtId="0" fontId="57" fillId="14" borderId="1" xfId="0" applyFont="1" applyFill="1" applyBorder="1" applyAlignment="1">
      <alignment horizontal="center" vertical="center"/>
    </xf>
    <xf numFmtId="0" fontId="56" fillId="16" borderId="1" xfId="0" applyFont="1" applyFill="1" applyBorder="1" applyAlignment="1">
      <alignment horizontal="center" vertical="center"/>
    </xf>
    <xf numFmtId="0" fontId="56" fillId="5" borderId="1" xfId="0" applyFont="1" applyFill="1" applyBorder="1" applyAlignment="1">
      <alignment horizontal="center" vertical="center"/>
    </xf>
    <xf numFmtId="0" fontId="56" fillId="5" borderId="49" xfId="0" applyFont="1" applyFill="1" applyBorder="1" applyAlignment="1">
      <alignment horizontal="center" vertical="center"/>
    </xf>
    <xf numFmtId="0" fontId="56" fillId="5" borderId="30" xfId="0" applyFont="1" applyFill="1" applyBorder="1" applyAlignment="1">
      <alignment horizontal="center" vertical="center"/>
    </xf>
    <xf numFmtId="0" fontId="56" fillId="5" borderId="4" xfId="0" applyFont="1" applyFill="1" applyBorder="1" applyAlignment="1">
      <alignment horizontal="center" vertical="center"/>
    </xf>
    <xf numFmtId="0" fontId="56" fillId="5" borderId="26" xfId="0" applyFont="1" applyFill="1" applyBorder="1" applyAlignment="1">
      <alignment horizontal="center" vertical="center"/>
    </xf>
    <xf numFmtId="0" fontId="59" fillId="36" borderId="9" xfId="0" applyFont="1" applyFill="1" applyBorder="1" applyAlignment="1">
      <alignment horizontal="center" vertical="center"/>
    </xf>
    <xf numFmtId="166" fontId="55" fillId="34" borderId="1" xfId="0" applyNumberFormat="1" applyFont="1" applyFill="1" applyBorder="1" applyAlignment="1">
      <alignment horizontal="center" vertical="center"/>
    </xf>
    <xf numFmtId="0" fontId="60" fillId="39" borderId="37" xfId="0" applyFont="1" applyFill="1" applyBorder="1" applyAlignment="1">
      <alignment horizontal="center" vertical="center"/>
    </xf>
    <xf numFmtId="165" fontId="60" fillId="39" borderId="37" xfId="0" applyNumberFormat="1" applyFont="1" applyFill="1" applyBorder="1" applyAlignment="1">
      <alignment horizontal="center" vertical="center"/>
    </xf>
    <xf numFmtId="0" fontId="60" fillId="39" borderId="70" xfId="0" applyFont="1" applyFill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165" fontId="61" fillId="0" borderId="5" xfId="0" applyNumberFormat="1" applyFont="1" applyBorder="1" applyAlignment="1">
      <alignment horizontal="center" vertical="center"/>
    </xf>
    <xf numFmtId="0" fontId="61" fillId="0" borderId="5" xfId="0" applyFont="1" applyBorder="1" applyAlignment="1">
      <alignment horizontal="center" vertical="center"/>
    </xf>
    <xf numFmtId="166" fontId="61" fillId="0" borderId="27" xfId="0" applyNumberFormat="1" applyFont="1" applyBorder="1" applyAlignment="1">
      <alignment horizontal="center" vertical="center"/>
    </xf>
    <xf numFmtId="166" fontId="38" fillId="0" borderId="28" xfId="0" applyNumberFormat="1" applyFont="1" applyBorder="1" applyAlignment="1">
      <alignment horizontal="center" vertical="center"/>
    </xf>
    <xf numFmtId="166" fontId="38" fillId="0" borderId="26" xfId="0" applyNumberFormat="1" applyFont="1" applyBorder="1" applyAlignment="1">
      <alignment horizontal="center" vertical="center"/>
    </xf>
    <xf numFmtId="166" fontId="38" fillId="0" borderId="27" xfId="0" applyNumberFormat="1" applyFont="1" applyBorder="1" applyAlignment="1">
      <alignment horizontal="center" vertical="center"/>
    </xf>
    <xf numFmtId="166" fontId="40" fillId="0" borderId="28" xfId="0" applyNumberFormat="1" applyFont="1" applyBorder="1" applyAlignment="1">
      <alignment horizontal="center" vertical="center"/>
    </xf>
    <xf numFmtId="166" fontId="43" fillId="0" borderId="26" xfId="0" applyNumberFormat="1" applyFont="1" applyBorder="1" applyAlignment="1">
      <alignment horizontal="center" vertical="center"/>
    </xf>
    <xf numFmtId="166" fontId="38" fillId="0" borderId="20" xfId="0" applyNumberFormat="1" applyFont="1" applyBorder="1" applyAlignment="1">
      <alignment horizontal="center" vertical="center"/>
    </xf>
    <xf numFmtId="166" fontId="40" fillId="0" borderId="34" xfId="0" applyNumberFormat="1" applyFont="1" applyBorder="1" applyAlignment="1">
      <alignment horizontal="center" vertical="center"/>
    </xf>
    <xf numFmtId="166" fontId="40" fillId="23" borderId="19" xfId="0" applyNumberFormat="1" applyFont="1" applyFill="1" applyBorder="1" applyAlignment="1">
      <alignment horizontal="center" vertical="center" wrapText="1"/>
    </xf>
    <xf numFmtId="166" fontId="38" fillId="0" borderId="57" xfId="0" applyNumberFormat="1" applyFont="1" applyBorder="1" applyAlignment="1">
      <alignment horizontal="center" vertical="center"/>
    </xf>
    <xf numFmtId="166" fontId="40" fillId="0" borderId="60" xfId="0" applyNumberFormat="1" applyFont="1" applyBorder="1" applyAlignment="1">
      <alignment horizontal="center" vertical="center"/>
    </xf>
    <xf numFmtId="166" fontId="43" fillId="0" borderId="64" xfId="0" applyNumberFormat="1" applyFont="1" applyBorder="1" applyAlignment="1">
      <alignment horizontal="center" vertical="center"/>
    </xf>
    <xf numFmtId="166" fontId="38" fillId="0" borderId="68" xfId="0" applyNumberFormat="1" applyFont="1" applyBorder="1" applyAlignment="1">
      <alignment horizontal="center" vertical="center"/>
    </xf>
    <xf numFmtId="166" fontId="46" fillId="0" borderId="69" xfId="0" applyNumberFormat="1" applyFont="1" applyBorder="1" applyAlignment="1">
      <alignment horizontal="center" vertical="center"/>
    </xf>
    <xf numFmtId="166" fontId="43" fillId="0" borderId="19" xfId="0" applyNumberFormat="1" applyFont="1" applyBorder="1" applyAlignment="1">
      <alignment horizontal="center" vertical="center"/>
    </xf>
    <xf numFmtId="166" fontId="60" fillId="39" borderId="78" xfId="0" applyNumberFormat="1" applyFont="1" applyFill="1" applyBorder="1" applyAlignment="1">
      <alignment horizontal="center" vertical="center"/>
    </xf>
    <xf numFmtId="166" fontId="43" fillId="0" borderId="21" xfId="0" applyNumberFormat="1" applyFont="1" applyBorder="1" applyAlignment="1">
      <alignment horizontal="center" vertical="center"/>
    </xf>
    <xf numFmtId="166" fontId="20" fillId="0" borderId="83" xfId="0" applyNumberFormat="1" applyFont="1" applyBorder="1" applyAlignment="1">
      <alignment horizontal="center" vertical="center"/>
    </xf>
    <xf numFmtId="166" fontId="20" fillId="0" borderId="18" xfId="0" applyNumberFormat="1" applyFont="1" applyBorder="1" applyAlignment="1">
      <alignment horizontal="center" vertical="center"/>
    </xf>
    <xf numFmtId="166" fontId="20" fillId="0" borderId="19" xfId="0" applyNumberFormat="1" applyFont="1" applyBorder="1" applyAlignment="1">
      <alignment horizontal="center" vertical="center"/>
    </xf>
    <xf numFmtId="49" fontId="62" fillId="35" borderId="13" xfId="0" applyNumberFormat="1" applyFont="1" applyFill="1" applyBorder="1" applyAlignment="1">
      <alignment horizontal="center"/>
    </xf>
    <xf numFmtId="0" fontId="63" fillId="35" borderId="9" xfId="0" applyFont="1" applyFill="1" applyBorder="1" applyAlignment="1">
      <alignment horizontal="center" vertical="center" wrapText="1"/>
    </xf>
    <xf numFmtId="0" fontId="62" fillId="35" borderId="9" xfId="0" applyFont="1" applyFill="1" applyBorder="1" applyAlignment="1">
      <alignment horizontal="center"/>
    </xf>
    <xf numFmtId="0" fontId="62" fillId="35" borderId="14" xfId="0" applyFont="1" applyFill="1" applyBorder="1" applyAlignment="1">
      <alignment horizontal="center"/>
    </xf>
    <xf numFmtId="0" fontId="64" fillId="40" borderId="1" xfId="0" applyFont="1" applyFill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4" fillId="40" borderId="4" xfId="0" applyFont="1" applyFill="1" applyBorder="1" applyAlignment="1">
      <alignment horizontal="center" vertical="center"/>
    </xf>
    <xf numFmtId="0" fontId="64" fillId="40" borderId="5" xfId="0" applyFont="1" applyFill="1" applyBorder="1" applyAlignment="1">
      <alignment horizontal="center" vertical="center"/>
    </xf>
    <xf numFmtId="165" fontId="64" fillId="40" borderId="4" xfId="0" applyNumberFormat="1" applyFont="1" applyFill="1" applyBorder="1" applyAlignment="1">
      <alignment horizontal="center" vertical="center"/>
    </xf>
    <xf numFmtId="0" fontId="64" fillId="40" borderId="16" xfId="0" applyFont="1" applyFill="1" applyBorder="1" applyAlignment="1">
      <alignment horizontal="center" vertical="center"/>
    </xf>
    <xf numFmtId="0" fontId="64" fillId="40" borderId="37" xfId="0" applyFont="1" applyFill="1" applyBorder="1" applyAlignment="1">
      <alignment horizontal="center" vertical="center" wrapText="1"/>
    </xf>
    <xf numFmtId="0" fontId="64" fillId="40" borderId="58" xfId="0" applyFont="1" applyFill="1" applyBorder="1" applyAlignment="1">
      <alignment horizontal="center" vertical="center"/>
    </xf>
    <xf numFmtId="0" fontId="64" fillId="40" borderId="8" xfId="0" applyFont="1" applyFill="1" applyBorder="1" applyAlignment="1">
      <alignment horizontal="center" vertical="center"/>
    </xf>
    <xf numFmtId="0" fontId="64" fillId="40" borderId="6" xfId="0" applyFont="1" applyFill="1" applyBorder="1" applyAlignment="1">
      <alignment horizontal="center" vertical="center"/>
    </xf>
    <xf numFmtId="0" fontId="64" fillId="40" borderId="70" xfId="0" applyFont="1" applyFill="1" applyBorder="1" applyAlignment="1">
      <alignment horizontal="center" vertical="center"/>
    </xf>
    <xf numFmtId="0" fontId="66" fillId="40" borderId="70" xfId="0" applyFont="1" applyFill="1" applyBorder="1" applyAlignment="1">
      <alignment horizontal="center" vertical="center"/>
    </xf>
    <xf numFmtId="0" fontId="66" fillId="40" borderId="42" xfId="0" applyFont="1" applyFill="1" applyBorder="1" applyAlignment="1">
      <alignment horizontal="center" vertical="center"/>
    </xf>
    <xf numFmtId="0" fontId="66" fillId="40" borderId="9" xfId="0" applyFont="1" applyFill="1" applyBorder="1" applyAlignment="1">
      <alignment horizontal="center" vertical="center"/>
    </xf>
    <xf numFmtId="0" fontId="66" fillId="40" borderId="37" xfId="0" applyFont="1" applyFill="1" applyBorder="1" applyAlignment="1">
      <alignment horizontal="center" vertical="center"/>
    </xf>
    <xf numFmtId="0" fontId="20" fillId="3" borderId="34" xfId="0" applyFont="1" applyFill="1" applyBorder="1" applyAlignment="1">
      <alignment vertical="center"/>
    </xf>
    <xf numFmtId="0" fontId="20" fillId="3" borderId="20" xfId="0" applyFont="1" applyFill="1" applyBorder="1" applyAlignment="1">
      <alignment vertical="center"/>
    </xf>
    <xf numFmtId="0" fontId="20" fillId="19" borderId="66" xfId="0" applyFont="1" applyFill="1" applyBorder="1" applyAlignment="1">
      <alignment vertical="center"/>
    </xf>
    <xf numFmtId="0" fontId="20" fillId="19" borderId="23" xfId="0" applyFont="1" applyFill="1" applyBorder="1" applyAlignment="1">
      <alignment vertical="center"/>
    </xf>
    <xf numFmtId="0" fontId="20" fillId="0" borderId="0" xfId="0" applyFont="1" applyAlignment="1">
      <alignment horizontal="center"/>
    </xf>
    <xf numFmtId="0" fontId="0" fillId="0" borderId="0" xfId="0"/>
    <xf numFmtId="0" fontId="31" fillId="5" borderId="32" xfId="0" applyFont="1" applyFill="1" applyBorder="1" applyAlignment="1">
      <alignment horizontal="center" vertical="center"/>
    </xf>
    <xf numFmtId="0" fontId="31" fillId="5" borderId="29" xfId="0" applyFont="1" applyFill="1" applyBorder="1" applyAlignment="1">
      <alignment horizontal="center" vertical="center"/>
    </xf>
    <xf numFmtId="0" fontId="56" fillId="5" borderId="97" xfId="0" applyFont="1" applyFill="1" applyBorder="1" applyAlignment="1">
      <alignment horizontal="center" vertical="center"/>
    </xf>
    <xf numFmtId="0" fontId="56" fillId="5" borderId="46" xfId="0" applyFont="1" applyFill="1" applyBorder="1" applyAlignment="1">
      <alignment horizontal="center" vertical="center"/>
    </xf>
    <xf numFmtId="0" fontId="56" fillId="5" borderId="47" xfId="0" applyFont="1" applyFill="1" applyBorder="1" applyAlignment="1">
      <alignment horizontal="center" vertical="center"/>
    </xf>
    <xf numFmtId="0" fontId="58" fillId="0" borderId="48" xfId="0" applyFont="1" applyBorder="1"/>
    <xf numFmtId="0" fontId="27" fillId="20" borderId="38" xfId="0" applyFont="1" applyFill="1" applyBorder="1" applyAlignment="1">
      <alignment horizontal="center" vertical="center"/>
    </xf>
    <xf numFmtId="0" fontId="27" fillId="20" borderId="50" xfId="0" applyFont="1" applyFill="1" applyBorder="1" applyAlignment="1">
      <alignment horizontal="center" vertical="center"/>
    </xf>
    <xf numFmtId="0" fontId="27" fillId="20" borderId="52" xfId="0" applyFont="1" applyFill="1" applyBorder="1" applyAlignment="1">
      <alignment horizontal="center" vertical="center"/>
    </xf>
    <xf numFmtId="0" fontId="56" fillId="5" borderId="98" xfId="0" applyFont="1" applyFill="1" applyBorder="1" applyAlignment="1">
      <alignment horizontal="center" vertical="center"/>
    </xf>
    <xf numFmtId="0" fontId="56" fillId="5" borderId="99" xfId="0" applyFont="1" applyFill="1" applyBorder="1" applyAlignment="1">
      <alignment horizontal="center" vertical="center"/>
    </xf>
    <xf numFmtId="0" fontId="56" fillId="5" borderId="95" xfId="0" applyFont="1" applyFill="1" applyBorder="1" applyAlignment="1">
      <alignment horizontal="center" vertical="center"/>
    </xf>
    <xf numFmtId="0" fontId="17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4" fillId="26" borderId="12" xfId="0" applyFont="1" applyFill="1" applyBorder="1" applyAlignment="1">
      <alignment horizontal="center"/>
    </xf>
    <xf numFmtId="0" fontId="34" fillId="26" borderId="67" xfId="0" applyFont="1" applyFill="1" applyBorder="1" applyAlignment="1">
      <alignment horizontal="center"/>
    </xf>
    <xf numFmtId="0" fontId="34" fillId="26" borderId="79" xfId="0" applyFont="1" applyFill="1" applyBorder="1" applyAlignment="1">
      <alignment horizontal="center"/>
    </xf>
    <xf numFmtId="0" fontId="54" fillId="0" borderId="80" xfId="0" applyFont="1" applyBorder="1" applyAlignment="1">
      <alignment horizontal="center" vertical="center"/>
    </xf>
    <xf numFmtId="0" fontId="54" fillId="0" borderId="70" xfId="0" applyFont="1" applyBorder="1" applyAlignment="1">
      <alignment horizontal="center" vertical="center"/>
    </xf>
    <xf numFmtId="0" fontId="54" fillId="0" borderId="21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72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0" fontId="9" fillId="0" borderId="84" xfId="0" applyFont="1" applyBorder="1" applyAlignment="1">
      <alignment horizontal="center" vertical="center" wrapText="1"/>
    </xf>
    <xf numFmtId="0" fontId="9" fillId="0" borderId="85" xfId="0" applyFont="1" applyBorder="1" applyAlignment="1">
      <alignment horizontal="center" vertical="center" wrapText="1"/>
    </xf>
    <xf numFmtId="0" fontId="9" fillId="0" borderId="86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87" xfId="0" applyFont="1" applyBorder="1" applyAlignment="1">
      <alignment horizontal="center" vertical="center" wrapText="1"/>
    </xf>
    <xf numFmtId="0" fontId="9" fillId="0" borderId="88" xfId="0" applyFont="1" applyBorder="1" applyAlignment="1">
      <alignment horizontal="center" vertical="center" wrapText="1"/>
    </xf>
    <xf numFmtId="0" fontId="9" fillId="0" borderId="89" xfId="0" applyFont="1" applyBorder="1" applyAlignment="1">
      <alignment horizontal="center" vertical="center" wrapText="1"/>
    </xf>
    <xf numFmtId="0" fontId="9" fillId="0" borderId="90" xfId="0" applyFont="1" applyBorder="1" applyAlignment="1">
      <alignment horizontal="center" vertical="center" wrapText="1"/>
    </xf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52" fillId="0" borderId="89" xfId="0" applyFon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63" xfId="0" applyFont="1" applyBorder="1" applyAlignment="1">
      <alignment horizontal="center" vertical="center"/>
    </xf>
    <xf numFmtId="0" fontId="16" fillId="0" borderId="81" xfId="0" applyFont="1" applyBorder="1" applyAlignment="1">
      <alignment horizontal="center" vertical="center"/>
    </xf>
    <xf numFmtId="0" fontId="16" fillId="0" borderId="78" xfId="0" applyFont="1" applyBorder="1" applyAlignment="1">
      <alignment horizontal="center" vertical="center"/>
    </xf>
    <xf numFmtId="0" fontId="15" fillId="0" borderId="73" xfId="0" applyFont="1" applyBorder="1" applyAlignment="1">
      <alignment horizontal="center" vertical="center"/>
    </xf>
    <xf numFmtId="0" fontId="15" fillId="0" borderId="74" xfId="0" applyFont="1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94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2" xfId="0" applyBorder="1" applyAlignment="1">
      <alignment horizontal="center"/>
    </xf>
    <xf numFmtId="0" fontId="52" fillId="0" borderId="0" xfId="0" applyFont="1" applyAlignment="1">
      <alignment horizontal="center"/>
    </xf>
    <xf numFmtId="0" fontId="52" fillId="0" borderId="67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37" borderId="9" xfId="0" applyFont="1" applyFill="1" applyBorder="1" applyAlignment="1">
      <alignment horizontal="center" vertical="center"/>
    </xf>
    <xf numFmtId="0" fontId="0" fillId="37" borderId="9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0" borderId="37" xfId="0" applyFont="1" applyFill="1" applyBorder="1" applyAlignment="1">
      <alignment horizontal="center"/>
    </xf>
  </cellXfs>
  <cellStyles count="1">
    <cellStyle name="Normale" xfId="0" builtinId="0"/>
  </cellStyles>
  <dxfs count="18">
    <dxf>
      <fill>
        <patternFill patternType="solid">
          <fgColor theme="9"/>
          <bgColor theme="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6"/>
          <bgColor theme="6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8"/>
          <bgColor theme="8"/>
        </patternFill>
      </fill>
    </dxf>
  </dxfs>
  <tableStyles count="1">
    <tableStyle name="Foglio2-style" pivot="0" count="3" xr9:uid="{00000000-0011-0000-FFFF-FFFF00000000}">
      <tableStyleElement type="headerRow" dxfId="17"/>
      <tableStyleElement type="firstRowStripe" dxfId="16"/>
      <tableStyleElement type="secondRowStripe" dxfId="15"/>
    </tableStyle>
  </tableStyles>
  <colors>
    <mruColors>
      <color rgb="FFE3B1DF"/>
      <color rgb="FFD5C687"/>
      <color rgb="FFBE9AD2"/>
      <color rgb="FFFF66FF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57150</xdr:colOff>
      <xdr:row>13</xdr:row>
      <xdr:rowOff>123825</xdr:rowOff>
    </xdr:from>
    <xdr:to>
      <xdr:col>17</xdr:col>
      <xdr:colOff>301774</xdr:colOff>
      <xdr:row>19</xdr:row>
      <xdr:rowOff>72390</xdr:rowOff>
    </xdr:to>
    <xdr:pic>
      <xdr:nvPicPr>
        <xdr:cNvPr id="2" name="Immagine 1" descr="esercizi bicipiti10">
          <a:extLst>
            <a:ext uri="{FF2B5EF4-FFF2-40B4-BE49-F238E27FC236}">
              <a16:creationId xmlns:a16="http://schemas.microsoft.com/office/drawing/2014/main" id="{0D9E67BF-8752-38FA-7ED6-8483435B0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2600325"/>
          <a:ext cx="2437279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28575</xdr:colOff>
      <xdr:row>1</xdr:row>
      <xdr:rowOff>19051</xdr:rowOff>
    </xdr:from>
    <xdr:to>
      <xdr:col>17</xdr:col>
      <xdr:colOff>262890</xdr:colOff>
      <xdr:row>6</xdr:row>
      <xdr:rowOff>34767</xdr:rowOff>
    </xdr:to>
    <xdr:pic>
      <xdr:nvPicPr>
        <xdr:cNvPr id="3" name="Immagine 2" descr="esercizi tricipiti17">
          <a:extLst>
            <a:ext uri="{FF2B5EF4-FFF2-40B4-BE49-F238E27FC236}">
              <a16:creationId xmlns:a16="http://schemas.microsoft.com/office/drawing/2014/main" id="{B81A9ABC-2750-3A44-67B5-8C13FAC07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9075" y="209551"/>
          <a:ext cx="2428875" cy="979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76200</xdr:colOff>
      <xdr:row>7</xdr:row>
      <xdr:rowOff>68580</xdr:rowOff>
    </xdr:from>
    <xdr:to>
      <xdr:col>23</xdr:col>
      <xdr:colOff>110687</xdr:colOff>
      <xdr:row>12</xdr:row>
      <xdr:rowOff>41910</xdr:rowOff>
    </xdr:to>
    <xdr:pic>
      <xdr:nvPicPr>
        <xdr:cNvPr id="4" name="Immagine 3" descr="esercizi pettorali petto21">
          <a:extLst>
            <a:ext uri="{FF2B5EF4-FFF2-40B4-BE49-F238E27FC236}">
              <a16:creationId xmlns:a16="http://schemas.microsoft.com/office/drawing/2014/main" id="{8ED01AA8-F20F-A8F1-3FA6-B2158F265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2440" y="1432560"/>
          <a:ext cx="2472887" cy="948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85725</xdr:colOff>
      <xdr:row>20</xdr:row>
      <xdr:rowOff>76201</xdr:rowOff>
    </xdr:from>
    <xdr:to>
      <xdr:col>17</xdr:col>
      <xdr:colOff>263243</xdr:colOff>
      <xdr:row>25</xdr:row>
      <xdr:rowOff>152400</xdr:rowOff>
    </xdr:to>
    <xdr:pic>
      <xdr:nvPicPr>
        <xdr:cNvPr id="5" name="Immagine 4" descr="esercizi addome2">
          <a:extLst>
            <a:ext uri="{FF2B5EF4-FFF2-40B4-BE49-F238E27FC236}">
              <a16:creationId xmlns:a16="http://schemas.microsoft.com/office/drawing/2014/main" id="{183E8FC9-6AFA-EA71-0E38-5FAA02F40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886201"/>
          <a:ext cx="2370173" cy="1019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47625</xdr:colOff>
      <xdr:row>28</xdr:row>
      <xdr:rowOff>19051</xdr:rowOff>
    </xdr:from>
    <xdr:to>
      <xdr:col>17</xdr:col>
      <xdr:colOff>338946</xdr:colOff>
      <xdr:row>33</xdr:row>
      <xdr:rowOff>80011</xdr:rowOff>
    </xdr:to>
    <xdr:pic>
      <xdr:nvPicPr>
        <xdr:cNvPr id="7" name="Immagine 6" descr="esercizi addome33">
          <a:extLst>
            <a:ext uri="{FF2B5EF4-FFF2-40B4-BE49-F238E27FC236}">
              <a16:creationId xmlns:a16="http://schemas.microsoft.com/office/drawing/2014/main" id="{23DCEABE-C591-8345-9210-521E0D5EA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25" y="5162551"/>
          <a:ext cx="2497311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F8:K23" headerRowDxfId="14" totalsRowDxfId="11" headerRowBorderDxfId="13" tableBorderDxfId="12">
  <tableColumns count="6">
    <tableColumn id="1" xr3:uid="{00000000-0010-0000-0000-000001000000}" name="Codice" dataDxfId="10"/>
    <tableColumn id="2" xr3:uid="{00000000-0010-0000-0000-000002000000}" name="Nome" dataDxfId="9"/>
    <tableColumn id="3" xr3:uid="{00000000-0010-0000-0000-000003000000}" name="Prezzo di mercato" dataDxfId="8"/>
    <tableColumn id="4" xr3:uid="{00000000-0010-0000-0000-000004000000}" name="Mio Prezzo" dataDxfId="7"/>
    <tableColumn id="5" xr3:uid="{00000000-0010-0000-0000-000005000000}" name="Prezzo venduto" dataDxfId="6"/>
    <tableColumn id="6" xr3:uid="{00000000-0010-0000-0000-000006000000}" name="Venduto" dataDxfId="5"/>
  </tableColumns>
  <tableStyleInfo name="Foglio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C1006"/>
  <sheetViews>
    <sheetView workbookViewId="0">
      <selection activeCell="C32" sqref="C32"/>
    </sheetView>
  </sheetViews>
  <sheetFormatPr defaultColWidth="14.42578125" defaultRowHeight="15" customHeight="1"/>
  <cols>
    <col min="1" max="1" width="10" bestFit="1" customWidth="1"/>
    <col min="2" max="2" width="14" bestFit="1" customWidth="1"/>
    <col min="3" max="3" width="166" customWidth="1"/>
    <col min="4" max="27" width="8.7109375" customWidth="1"/>
  </cols>
  <sheetData>
    <row r="1" spans="1:3" ht="20.25" thickBot="1">
      <c r="A1" s="105" t="s">
        <v>0</v>
      </c>
      <c r="B1" s="105" t="s">
        <v>154</v>
      </c>
      <c r="C1" s="106" t="s">
        <v>1</v>
      </c>
    </row>
    <row r="2" spans="1:3" ht="15.75" thickTop="1">
      <c r="A2" s="88">
        <v>1</v>
      </c>
      <c r="B2" s="88" t="s">
        <v>155</v>
      </c>
      <c r="C2" s="89" t="s">
        <v>149</v>
      </c>
    </row>
    <row r="3" spans="1:3">
      <c r="A3" s="90">
        <v>2</v>
      </c>
      <c r="B3" s="91" t="s">
        <v>155</v>
      </c>
      <c r="C3" s="250" t="s">
        <v>245</v>
      </c>
    </row>
    <row r="4" spans="1:3">
      <c r="A4" s="88">
        <v>3</v>
      </c>
      <c r="B4" s="93" t="s">
        <v>155</v>
      </c>
      <c r="C4" s="94" t="s">
        <v>152</v>
      </c>
    </row>
    <row r="5" spans="1:3">
      <c r="A5" s="90">
        <v>4</v>
      </c>
      <c r="B5" s="91" t="s">
        <v>155</v>
      </c>
      <c r="C5" s="92" t="s">
        <v>150</v>
      </c>
    </row>
    <row r="6" spans="1:3" ht="45">
      <c r="A6" s="88">
        <v>5</v>
      </c>
      <c r="B6" s="93" t="s">
        <v>155</v>
      </c>
      <c r="C6" s="95" t="s">
        <v>386</v>
      </c>
    </row>
    <row r="7" spans="1:3" ht="15.75" thickBot="1">
      <c r="A7" s="90">
        <v>6</v>
      </c>
      <c r="B7" s="96" t="s">
        <v>155</v>
      </c>
      <c r="C7" s="97" t="s">
        <v>151</v>
      </c>
    </row>
    <row r="8" spans="1:3" ht="15.75" thickTop="1">
      <c r="A8" s="88">
        <v>7</v>
      </c>
      <c r="B8" s="88" t="s">
        <v>156</v>
      </c>
      <c r="C8" s="98" t="s">
        <v>153</v>
      </c>
    </row>
    <row r="9" spans="1:3">
      <c r="A9" s="337">
        <v>8</v>
      </c>
      <c r="B9" s="339" t="s">
        <v>156</v>
      </c>
      <c r="C9" s="99" t="s">
        <v>201</v>
      </c>
    </row>
    <row r="10" spans="1:3">
      <c r="A10" s="338"/>
      <c r="B10" s="340"/>
      <c r="C10" s="99" t="s">
        <v>180</v>
      </c>
    </row>
    <row r="11" spans="1:3">
      <c r="A11" s="93">
        <v>9</v>
      </c>
      <c r="B11" s="93" t="s">
        <v>156</v>
      </c>
      <c r="C11" s="94" t="s">
        <v>144</v>
      </c>
    </row>
    <row r="12" spans="1:3" ht="15.75" thickBot="1">
      <c r="A12" s="100">
        <v>10</v>
      </c>
      <c r="B12" s="96" t="s">
        <v>156</v>
      </c>
      <c r="C12" s="97" t="s">
        <v>145</v>
      </c>
    </row>
    <row r="13" spans="1:3" ht="15.75" thickTop="1">
      <c r="A13" s="88">
        <v>11</v>
      </c>
      <c r="B13" s="88" t="s">
        <v>157</v>
      </c>
      <c r="C13" s="101" t="s">
        <v>147</v>
      </c>
    </row>
    <row r="14" spans="1:3" ht="15.75" thickBot="1">
      <c r="A14" s="100">
        <v>12</v>
      </c>
      <c r="B14" s="96" t="s">
        <v>157</v>
      </c>
      <c r="C14" s="97" t="s">
        <v>148</v>
      </c>
    </row>
    <row r="15" spans="1:3" ht="15" customHeight="1" thickTop="1" thickBot="1">
      <c r="A15" s="102">
        <v>13</v>
      </c>
      <c r="B15" s="103" t="s">
        <v>158</v>
      </c>
      <c r="C15" s="104" t="s">
        <v>146</v>
      </c>
    </row>
    <row r="16" spans="1:3" ht="15" customHeight="1" thickTop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">
    <mergeCell ref="A9:A10"/>
    <mergeCell ref="B9:B10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F1:P1000"/>
  <sheetViews>
    <sheetView workbookViewId="0">
      <selection activeCell="Q33" sqref="Q33"/>
    </sheetView>
  </sheetViews>
  <sheetFormatPr defaultColWidth="14.42578125" defaultRowHeight="15" customHeight="1"/>
  <cols>
    <col min="1" max="5" width="8.7109375" customWidth="1"/>
    <col min="6" max="6" width="17" customWidth="1"/>
    <col min="7" max="7" width="25.7109375" customWidth="1"/>
    <col min="8" max="8" width="18.85546875" customWidth="1"/>
    <col min="9" max="9" width="13.42578125" customWidth="1"/>
    <col min="10" max="10" width="18.28515625" customWidth="1"/>
    <col min="11" max="11" width="11.42578125" customWidth="1"/>
    <col min="12" max="12" width="8.7109375" customWidth="1"/>
    <col min="13" max="13" width="8.5703125" customWidth="1"/>
    <col min="14" max="14" width="8.7109375" customWidth="1"/>
    <col min="15" max="15" width="25.5703125" customWidth="1"/>
    <col min="16" max="26" width="8.7109375" customWidth="1"/>
  </cols>
  <sheetData>
    <row r="1" spans="6:16">
      <c r="F1" s="1"/>
    </row>
    <row r="2" spans="6:16">
      <c r="F2" s="1"/>
    </row>
    <row r="3" spans="6:16">
      <c r="F3" s="1"/>
    </row>
    <row r="4" spans="6:16">
      <c r="F4" s="1"/>
    </row>
    <row r="5" spans="6:16">
      <c r="F5" s="1"/>
      <c r="O5" s="1"/>
    </row>
    <row r="6" spans="6:16">
      <c r="F6" s="1"/>
      <c r="O6" s="1"/>
    </row>
    <row r="7" spans="6:16">
      <c r="F7" s="1"/>
      <c r="O7" s="1"/>
    </row>
    <row r="8" spans="6:16">
      <c r="F8" s="7" t="s">
        <v>2</v>
      </c>
      <c r="G8" s="8" t="s">
        <v>3</v>
      </c>
      <c r="H8" s="8" t="s">
        <v>4</v>
      </c>
      <c r="I8" s="8" t="s">
        <v>5</v>
      </c>
      <c r="J8" s="8" t="s">
        <v>6</v>
      </c>
      <c r="K8" s="9" t="s">
        <v>7</v>
      </c>
    </row>
    <row r="9" spans="6:16" ht="15.75">
      <c r="F9" s="10" t="s">
        <v>8</v>
      </c>
      <c r="G9" s="11" t="s">
        <v>9</v>
      </c>
      <c r="H9" s="12">
        <v>10</v>
      </c>
      <c r="I9" s="12">
        <f t="shared" ref="I9:I22" si="0">IF(H9=15,(H9-5)/2,H9/2-1)</f>
        <v>4</v>
      </c>
      <c r="J9" s="12">
        <v>4</v>
      </c>
      <c r="K9" s="13" t="s">
        <v>10</v>
      </c>
      <c r="O9" s="2" t="s">
        <v>11</v>
      </c>
      <c r="P9" s="3">
        <f>AVERAGE(I9:I22)</f>
        <v>4.3928571428571432</v>
      </c>
    </row>
    <row r="10" spans="6:16">
      <c r="F10" s="10" t="s">
        <v>12</v>
      </c>
      <c r="G10" s="14" t="s">
        <v>13</v>
      </c>
      <c r="H10" s="12">
        <v>9</v>
      </c>
      <c r="I10" s="12">
        <f t="shared" si="0"/>
        <v>3.5</v>
      </c>
      <c r="J10" s="12">
        <v>3.5</v>
      </c>
      <c r="K10" s="13" t="s">
        <v>10</v>
      </c>
      <c r="O10" s="2" t="s">
        <v>14</v>
      </c>
      <c r="P10" s="3">
        <f>J23/K23</f>
        <v>4.2</v>
      </c>
    </row>
    <row r="11" spans="6:16">
      <c r="F11" s="10" t="s">
        <v>15</v>
      </c>
      <c r="G11" s="14" t="s">
        <v>16</v>
      </c>
      <c r="H11" s="12">
        <v>9</v>
      </c>
      <c r="I11" s="12">
        <f t="shared" si="0"/>
        <v>3.5</v>
      </c>
      <c r="J11" s="12">
        <v>5</v>
      </c>
      <c r="K11" s="13" t="s">
        <v>10</v>
      </c>
      <c r="O11" s="4" t="s">
        <v>18</v>
      </c>
      <c r="P11" s="3">
        <f>I23-P12</f>
        <v>20</v>
      </c>
    </row>
    <row r="12" spans="6:16">
      <c r="F12" s="15" t="s">
        <v>19</v>
      </c>
      <c r="G12" s="16" t="s">
        <v>20</v>
      </c>
      <c r="H12" s="17">
        <v>15</v>
      </c>
      <c r="I12" s="17">
        <f t="shared" si="0"/>
        <v>5</v>
      </c>
      <c r="J12" s="17"/>
      <c r="K12" s="18" t="s">
        <v>17</v>
      </c>
      <c r="O12" s="4" t="s">
        <v>21</v>
      </c>
      <c r="P12" s="3">
        <f>SUM(I13,I15,I10,I9,I17,I18,I21,I20,I11,I16)</f>
        <v>41.5</v>
      </c>
    </row>
    <row r="13" spans="6:16">
      <c r="F13" s="10" t="s">
        <v>22</v>
      </c>
      <c r="G13" s="14" t="s">
        <v>23</v>
      </c>
      <c r="H13" s="12">
        <v>15</v>
      </c>
      <c r="I13" s="12">
        <f t="shared" si="0"/>
        <v>5</v>
      </c>
      <c r="J13" s="12">
        <v>4.5</v>
      </c>
      <c r="K13" s="13" t="s">
        <v>10</v>
      </c>
      <c r="O13" s="4" t="s">
        <v>24</v>
      </c>
      <c r="P13" s="3">
        <f>SUM(J9:J11,J17:J18,J20:J21,J15,J13,J16)</f>
        <v>42</v>
      </c>
    </row>
    <row r="14" spans="6:16">
      <c r="F14" s="15" t="s">
        <v>25</v>
      </c>
      <c r="G14" s="16" t="s">
        <v>26</v>
      </c>
      <c r="H14" s="17">
        <v>15</v>
      </c>
      <c r="I14" s="17">
        <f t="shared" si="0"/>
        <v>5</v>
      </c>
      <c r="J14" s="17"/>
      <c r="K14" s="18" t="s">
        <v>17</v>
      </c>
      <c r="O14" s="55" t="str">
        <f>IF(P14&lt;0,"Perdita", "Guadagno")</f>
        <v>Guadagno</v>
      </c>
      <c r="P14" s="3">
        <f>(P12-P13)*(-1)</f>
        <v>0.5</v>
      </c>
    </row>
    <row r="15" spans="6:16">
      <c r="F15" s="10" t="s">
        <v>27</v>
      </c>
      <c r="G15" s="14" t="s">
        <v>28</v>
      </c>
      <c r="H15" s="12">
        <v>15</v>
      </c>
      <c r="I15" s="12">
        <f t="shared" si="0"/>
        <v>5</v>
      </c>
      <c r="J15" s="12">
        <v>4</v>
      </c>
      <c r="K15" s="13" t="s">
        <v>10</v>
      </c>
    </row>
    <row r="16" spans="6:16">
      <c r="F16" s="318" t="s">
        <v>29</v>
      </c>
      <c r="G16" s="319" t="s">
        <v>30</v>
      </c>
      <c r="H16" s="320">
        <v>15</v>
      </c>
      <c r="I16" s="320">
        <f>IF(H16=15,(H16-5)/2,H16/2-1)</f>
        <v>5</v>
      </c>
      <c r="J16" s="320">
        <v>7</v>
      </c>
      <c r="K16" s="321" t="s">
        <v>10</v>
      </c>
    </row>
    <row r="17" spans="6:14">
      <c r="F17" s="10" t="s">
        <v>31</v>
      </c>
      <c r="G17" s="14" t="s">
        <v>32</v>
      </c>
      <c r="H17" s="12">
        <v>9</v>
      </c>
      <c r="I17" s="12">
        <f t="shared" si="0"/>
        <v>3.5</v>
      </c>
      <c r="J17" s="12">
        <v>3.5</v>
      </c>
      <c r="K17" s="13" t="s">
        <v>10</v>
      </c>
    </row>
    <row r="18" spans="6:14">
      <c r="F18" s="10" t="s">
        <v>33</v>
      </c>
      <c r="G18" s="14" t="s">
        <v>34</v>
      </c>
      <c r="H18" s="12">
        <v>9</v>
      </c>
      <c r="I18" s="12">
        <f t="shared" si="0"/>
        <v>3.5</v>
      </c>
      <c r="J18" s="12">
        <v>3.5</v>
      </c>
      <c r="K18" s="13" t="s">
        <v>10</v>
      </c>
    </row>
    <row r="19" spans="6:14">
      <c r="F19" s="15" t="s">
        <v>35</v>
      </c>
      <c r="G19" s="16" t="s">
        <v>36</v>
      </c>
      <c r="H19" s="17">
        <v>15</v>
      </c>
      <c r="I19" s="17">
        <f t="shared" si="0"/>
        <v>5</v>
      </c>
      <c r="J19" s="17"/>
      <c r="K19" s="18" t="s">
        <v>17</v>
      </c>
    </row>
    <row r="20" spans="6:14">
      <c r="F20" s="10" t="s">
        <v>37</v>
      </c>
      <c r="G20" s="14" t="s">
        <v>38</v>
      </c>
      <c r="H20" s="12">
        <v>9</v>
      </c>
      <c r="I20" s="12">
        <f t="shared" si="0"/>
        <v>3.5</v>
      </c>
      <c r="J20" s="12">
        <v>3.5</v>
      </c>
      <c r="K20" s="13" t="s">
        <v>10</v>
      </c>
    </row>
    <row r="21" spans="6:14" ht="15.75" customHeight="1">
      <c r="F21" s="10" t="s">
        <v>39</v>
      </c>
      <c r="G21" s="14" t="s">
        <v>40</v>
      </c>
      <c r="H21" s="12">
        <v>15</v>
      </c>
      <c r="I21" s="12">
        <f t="shared" si="0"/>
        <v>5</v>
      </c>
      <c r="J21" s="12">
        <v>3.5</v>
      </c>
      <c r="K21" s="13" t="s">
        <v>10</v>
      </c>
    </row>
    <row r="22" spans="6:14" ht="15.75" customHeight="1">
      <c r="F22" s="15" t="s">
        <v>41</v>
      </c>
      <c r="G22" s="16" t="s">
        <v>42</v>
      </c>
      <c r="H22" s="17">
        <v>15</v>
      </c>
      <c r="I22" s="17">
        <f t="shared" si="0"/>
        <v>5</v>
      </c>
      <c r="J22" s="17"/>
      <c r="K22" s="18" t="s">
        <v>17</v>
      </c>
      <c r="N22" s="5"/>
    </row>
    <row r="23" spans="6:14" ht="15.75" customHeight="1">
      <c r="F23" s="19" t="s">
        <v>43</v>
      </c>
      <c r="G23" s="20" t="s">
        <v>44</v>
      </c>
      <c r="H23" s="21">
        <f t="shared" ref="H23:I23" si="1">SUM(H9:H22)</f>
        <v>175</v>
      </c>
      <c r="I23" s="21">
        <f t="shared" si="1"/>
        <v>61.5</v>
      </c>
      <c r="J23" s="21">
        <f>SUM(J9:J22)</f>
        <v>42</v>
      </c>
      <c r="K23" s="22">
        <f>COUNTIF(K9:K22, "True")</f>
        <v>10</v>
      </c>
    </row>
    <row r="24" spans="6:14" ht="15.75" customHeight="1">
      <c r="F24" s="341" t="s">
        <v>45</v>
      </c>
      <c r="G24" s="342"/>
      <c r="H24" s="342"/>
      <c r="I24" s="342"/>
      <c r="J24" s="342"/>
      <c r="K24" s="342"/>
    </row>
    <row r="25" spans="6:14" ht="15.75" customHeight="1">
      <c r="F25" s="341" t="s">
        <v>46</v>
      </c>
      <c r="G25" s="342"/>
      <c r="H25" s="342"/>
      <c r="I25" s="342"/>
      <c r="J25" s="342"/>
      <c r="K25" s="342"/>
    </row>
    <row r="26" spans="6:14" ht="15.75" customHeight="1">
      <c r="F26" s="341" t="s">
        <v>47</v>
      </c>
      <c r="G26" s="342"/>
      <c r="H26" s="342"/>
      <c r="I26" s="342"/>
      <c r="J26" s="342"/>
      <c r="K26" s="342"/>
    </row>
    <row r="27" spans="6:14" ht="15.75" customHeight="1">
      <c r="F27" s="1"/>
    </row>
    <row r="28" spans="6:14" ht="15.75" customHeight="1">
      <c r="F28" s="1"/>
    </row>
    <row r="29" spans="6:14" ht="15.75" customHeight="1">
      <c r="F29" s="1"/>
    </row>
    <row r="30" spans="6:14" ht="15.75" customHeight="1">
      <c r="F30" s="1"/>
    </row>
    <row r="31" spans="6:14" ht="15.75" customHeight="1">
      <c r="F31" s="1"/>
    </row>
    <row r="32" spans="6:14" ht="15.75" customHeight="1">
      <c r="F32" s="1"/>
    </row>
    <row r="33" spans="6:6" ht="15.75" customHeight="1">
      <c r="F33" s="1"/>
    </row>
    <row r="34" spans="6:6" ht="15.75" customHeight="1">
      <c r="F34" s="1"/>
    </row>
    <row r="35" spans="6:6" ht="15.75" customHeight="1">
      <c r="F35" s="1"/>
    </row>
    <row r="36" spans="6:6" ht="15.75" customHeight="1">
      <c r="F36" s="1"/>
    </row>
    <row r="37" spans="6:6" ht="15.75" customHeight="1">
      <c r="F37" s="1"/>
    </row>
    <row r="38" spans="6:6" ht="15.75" customHeight="1">
      <c r="F38" s="1"/>
    </row>
    <row r="39" spans="6:6" ht="15.75" customHeight="1">
      <c r="F39" s="1"/>
    </row>
    <row r="40" spans="6:6" ht="15.75" customHeight="1">
      <c r="F40" s="1"/>
    </row>
    <row r="41" spans="6:6" ht="15.75" customHeight="1">
      <c r="F41" s="1"/>
    </row>
    <row r="42" spans="6:6" ht="15.75" customHeight="1">
      <c r="F42" s="1"/>
    </row>
    <row r="43" spans="6:6" ht="15.75" customHeight="1">
      <c r="F43" s="1"/>
    </row>
    <row r="44" spans="6:6" ht="15.75" customHeight="1">
      <c r="F44" s="1"/>
    </row>
    <row r="45" spans="6:6" ht="15.75" customHeight="1">
      <c r="F45" s="1"/>
    </row>
    <row r="46" spans="6:6" ht="15.75" customHeight="1">
      <c r="F46" s="1"/>
    </row>
    <row r="47" spans="6:6" ht="15.75" customHeight="1">
      <c r="F47" s="1"/>
    </row>
    <row r="48" spans="6:6" ht="15.75" customHeight="1">
      <c r="F48" s="1"/>
    </row>
    <row r="49" spans="6:6" ht="15.75" customHeight="1">
      <c r="F49" s="1"/>
    </row>
    <row r="50" spans="6:6" ht="15.75" customHeight="1">
      <c r="F50" s="1"/>
    </row>
    <row r="51" spans="6:6" ht="15.75" customHeight="1">
      <c r="F51" s="1"/>
    </row>
    <row r="52" spans="6:6" ht="15.75" customHeight="1">
      <c r="F52" s="1"/>
    </row>
    <row r="53" spans="6:6" ht="15.75" customHeight="1">
      <c r="F53" s="1"/>
    </row>
    <row r="54" spans="6:6" ht="15.75" customHeight="1">
      <c r="F54" s="1"/>
    </row>
    <row r="55" spans="6:6" ht="15.75" customHeight="1">
      <c r="F55" s="1"/>
    </row>
    <row r="56" spans="6:6" ht="15.75" customHeight="1">
      <c r="F56" s="1"/>
    </row>
    <row r="57" spans="6:6" ht="15.75" customHeight="1">
      <c r="F57" s="1"/>
    </row>
    <row r="58" spans="6:6" ht="15.75" customHeight="1">
      <c r="F58" s="1"/>
    </row>
    <row r="59" spans="6:6" ht="15.75" customHeight="1">
      <c r="F59" s="1"/>
    </row>
    <row r="60" spans="6:6" ht="15.75" customHeight="1">
      <c r="F60" s="1"/>
    </row>
    <row r="61" spans="6:6" ht="15.75" customHeight="1">
      <c r="F61" s="1"/>
    </row>
    <row r="62" spans="6:6" ht="15.75" customHeight="1">
      <c r="F62" s="1"/>
    </row>
    <row r="63" spans="6:6" ht="15.75" customHeight="1">
      <c r="F63" s="1"/>
    </row>
    <row r="64" spans="6:6" ht="15.75" customHeight="1">
      <c r="F64" s="1"/>
    </row>
    <row r="65" spans="6:6" ht="15.75" customHeight="1">
      <c r="F65" s="1"/>
    </row>
    <row r="66" spans="6:6" ht="15.75" customHeight="1">
      <c r="F66" s="1"/>
    </row>
    <row r="67" spans="6:6" ht="15.75" customHeight="1">
      <c r="F67" s="1"/>
    </row>
    <row r="68" spans="6:6" ht="15.75" customHeight="1">
      <c r="F68" s="1"/>
    </row>
    <row r="69" spans="6:6" ht="15.75" customHeight="1">
      <c r="F69" s="1"/>
    </row>
    <row r="70" spans="6:6" ht="15.75" customHeight="1">
      <c r="F70" s="1"/>
    </row>
    <row r="71" spans="6:6" ht="15.75" customHeight="1">
      <c r="F71" s="1"/>
    </row>
    <row r="72" spans="6:6" ht="15.75" customHeight="1">
      <c r="F72" s="1"/>
    </row>
    <row r="73" spans="6:6" ht="15.75" customHeight="1">
      <c r="F73" s="1"/>
    </row>
    <row r="74" spans="6:6" ht="15.75" customHeight="1">
      <c r="F74" s="1"/>
    </row>
    <row r="75" spans="6:6" ht="15.75" customHeight="1">
      <c r="F75" s="1"/>
    </row>
    <row r="76" spans="6:6" ht="15.75" customHeight="1">
      <c r="F76" s="1"/>
    </row>
    <row r="77" spans="6:6" ht="15.75" customHeight="1">
      <c r="F77" s="1"/>
    </row>
    <row r="78" spans="6:6" ht="15.75" customHeight="1">
      <c r="F78" s="1"/>
    </row>
    <row r="79" spans="6:6" ht="15.75" customHeight="1">
      <c r="F79" s="1"/>
    </row>
    <row r="80" spans="6:6" ht="15.75" customHeight="1">
      <c r="F80" s="1"/>
    </row>
    <row r="81" spans="6:6" ht="15.75" customHeight="1">
      <c r="F81" s="1"/>
    </row>
    <row r="82" spans="6:6" ht="15.75" customHeight="1">
      <c r="F82" s="1"/>
    </row>
    <row r="83" spans="6:6" ht="15.75" customHeight="1">
      <c r="F83" s="1"/>
    </row>
    <row r="84" spans="6:6" ht="15.75" customHeight="1">
      <c r="F84" s="1"/>
    </row>
    <row r="85" spans="6:6" ht="15.75" customHeight="1">
      <c r="F85" s="1"/>
    </row>
    <row r="86" spans="6:6" ht="15.75" customHeight="1">
      <c r="F86" s="1"/>
    </row>
    <row r="87" spans="6:6" ht="15.75" customHeight="1">
      <c r="F87" s="1"/>
    </row>
    <row r="88" spans="6:6" ht="15.75" customHeight="1">
      <c r="F88" s="1"/>
    </row>
    <row r="89" spans="6:6" ht="15.75" customHeight="1">
      <c r="F89" s="1"/>
    </row>
    <row r="90" spans="6:6" ht="15.75" customHeight="1">
      <c r="F90" s="1"/>
    </row>
    <row r="91" spans="6:6" ht="15.75" customHeight="1">
      <c r="F91" s="1"/>
    </row>
    <row r="92" spans="6:6" ht="15.75" customHeight="1">
      <c r="F92" s="1"/>
    </row>
    <row r="93" spans="6:6" ht="15.75" customHeight="1">
      <c r="F93" s="1"/>
    </row>
    <row r="94" spans="6:6" ht="15.75" customHeight="1">
      <c r="F94" s="1"/>
    </row>
    <row r="95" spans="6:6" ht="15.75" customHeight="1">
      <c r="F95" s="1"/>
    </row>
    <row r="96" spans="6:6" ht="15.75" customHeight="1">
      <c r="F96" s="1"/>
    </row>
    <row r="97" spans="6:6" ht="15.75" customHeight="1">
      <c r="F97" s="1"/>
    </row>
    <row r="98" spans="6:6" ht="15.75" customHeight="1">
      <c r="F98" s="1"/>
    </row>
    <row r="99" spans="6:6" ht="15.75" customHeight="1">
      <c r="F99" s="1"/>
    </row>
    <row r="100" spans="6:6" ht="15.75" customHeight="1">
      <c r="F100" s="1"/>
    </row>
    <row r="101" spans="6:6" ht="15.75" customHeight="1">
      <c r="F101" s="1"/>
    </row>
    <row r="102" spans="6:6" ht="15.75" customHeight="1">
      <c r="F102" s="1"/>
    </row>
    <row r="103" spans="6:6" ht="15.75" customHeight="1">
      <c r="F103" s="1"/>
    </row>
    <row r="104" spans="6:6" ht="15.75" customHeight="1">
      <c r="F104" s="1"/>
    </row>
    <row r="105" spans="6:6" ht="15.75" customHeight="1">
      <c r="F105" s="1"/>
    </row>
    <row r="106" spans="6:6" ht="15.75" customHeight="1">
      <c r="F106" s="1"/>
    </row>
    <row r="107" spans="6:6" ht="15.75" customHeight="1">
      <c r="F107" s="1"/>
    </row>
    <row r="108" spans="6:6" ht="15.75" customHeight="1">
      <c r="F108" s="1"/>
    </row>
    <row r="109" spans="6:6" ht="15.75" customHeight="1">
      <c r="F109" s="1"/>
    </row>
    <row r="110" spans="6:6" ht="15.75" customHeight="1">
      <c r="F110" s="1"/>
    </row>
    <row r="111" spans="6:6" ht="15.75" customHeight="1">
      <c r="F111" s="1"/>
    </row>
    <row r="112" spans="6:6" ht="15.75" customHeight="1">
      <c r="F112" s="1"/>
    </row>
    <row r="113" spans="6:6" ht="15.75" customHeight="1">
      <c r="F113" s="1"/>
    </row>
    <row r="114" spans="6:6" ht="15.75" customHeight="1">
      <c r="F114" s="1"/>
    </row>
    <row r="115" spans="6:6" ht="15.75" customHeight="1">
      <c r="F115" s="1"/>
    </row>
    <row r="116" spans="6:6" ht="15.75" customHeight="1">
      <c r="F116" s="1"/>
    </row>
    <row r="117" spans="6:6" ht="15.75" customHeight="1">
      <c r="F117" s="1"/>
    </row>
    <row r="118" spans="6:6" ht="15.75" customHeight="1">
      <c r="F118" s="1"/>
    </row>
    <row r="119" spans="6:6" ht="15.75" customHeight="1">
      <c r="F119" s="1"/>
    </row>
    <row r="120" spans="6:6" ht="15.75" customHeight="1">
      <c r="F120" s="1"/>
    </row>
    <row r="121" spans="6:6" ht="15.75" customHeight="1">
      <c r="F121" s="1"/>
    </row>
    <row r="122" spans="6:6" ht="15.75" customHeight="1">
      <c r="F122" s="1"/>
    </row>
    <row r="123" spans="6:6" ht="15.75" customHeight="1">
      <c r="F123" s="1"/>
    </row>
    <row r="124" spans="6:6" ht="15.75" customHeight="1">
      <c r="F124" s="1"/>
    </row>
    <row r="125" spans="6:6" ht="15.75" customHeight="1">
      <c r="F125" s="1"/>
    </row>
    <row r="126" spans="6:6" ht="15.75" customHeight="1">
      <c r="F126" s="1"/>
    </row>
    <row r="127" spans="6:6" ht="15.75" customHeight="1">
      <c r="F127" s="1"/>
    </row>
    <row r="128" spans="6:6" ht="15.75" customHeight="1">
      <c r="F128" s="1"/>
    </row>
    <row r="129" spans="6:6" ht="15.75" customHeight="1">
      <c r="F129" s="1"/>
    </row>
    <row r="130" spans="6:6" ht="15.75" customHeight="1">
      <c r="F130" s="1"/>
    </row>
    <row r="131" spans="6:6" ht="15.75" customHeight="1">
      <c r="F131" s="1"/>
    </row>
    <row r="132" spans="6:6" ht="15.75" customHeight="1">
      <c r="F132" s="1"/>
    </row>
    <row r="133" spans="6:6" ht="15.75" customHeight="1">
      <c r="F133" s="1"/>
    </row>
    <row r="134" spans="6:6" ht="15.75" customHeight="1">
      <c r="F134" s="1"/>
    </row>
    <row r="135" spans="6:6" ht="15.75" customHeight="1">
      <c r="F135" s="1"/>
    </row>
    <row r="136" spans="6:6" ht="15.75" customHeight="1">
      <c r="F136" s="1"/>
    </row>
    <row r="137" spans="6:6" ht="15.75" customHeight="1">
      <c r="F137" s="1"/>
    </row>
    <row r="138" spans="6:6" ht="15.75" customHeight="1">
      <c r="F138" s="1"/>
    </row>
    <row r="139" spans="6:6" ht="15.75" customHeight="1">
      <c r="F139" s="1"/>
    </row>
    <row r="140" spans="6:6" ht="15.75" customHeight="1">
      <c r="F140" s="1"/>
    </row>
    <row r="141" spans="6:6" ht="15.75" customHeight="1">
      <c r="F141" s="1"/>
    </row>
    <row r="142" spans="6:6" ht="15.75" customHeight="1">
      <c r="F142" s="1"/>
    </row>
    <row r="143" spans="6:6" ht="15.75" customHeight="1">
      <c r="F143" s="1"/>
    </row>
    <row r="144" spans="6:6" ht="15.75" customHeight="1">
      <c r="F144" s="1"/>
    </row>
    <row r="145" spans="6:6" ht="15.75" customHeight="1">
      <c r="F145" s="1"/>
    </row>
    <row r="146" spans="6:6" ht="15.75" customHeight="1">
      <c r="F146" s="1"/>
    </row>
    <row r="147" spans="6:6" ht="15.75" customHeight="1">
      <c r="F147" s="1"/>
    </row>
    <row r="148" spans="6:6" ht="15.75" customHeight="1">
      <c r="F148" s="1"/>
    </row>
    <row r="149" spans="6:6" ht="15.75" customHeight="1">
      <c r="F149" s="1"/>
    </row>
    <row r="150" spans="6:6" ht="15.75" customHeight="1">
      <c r="F150" s="1"/>
    </row>
    <row r="151" spans="6:6" ht="15.75" customHeight="1">
      <c r="F151" s="1"/>
    </row>
    <row r="152" spans="6:6" ht="15.75" customHeight="1">
      <c r="F152" s="1"/>
    </row>
    <row r="153" spans="6:6" ht="15.75" customHeight="1">
      <c r="F153" s="1"/>
    </row>
    <row r="154" spans="6:6" ht="15.75" customHeight="1">
      <c r="F154" s="1"/>
    </row>
    <row r="155" spans="6:6" ht="15.75" customHeight="1">
      <c r="F155" s="1"/>
    </row>
    <row r="156" spans="6:6" ht="15.75" customHeight="1">
      <c r="F156" s="1"/>
    </row>
    <row r="157" spans="6:6" ht="15.75" customHeight="1">
      <c r="F157" s="1"/>
    </row>
    <row r="158" spans="6:6" ht="15.75" customHeight="1">
      <c r="F158" s="1"/>
    </row>
    <row r="159" spans="6:6" ht="15.75" customHeight="1">
      <c r="F159" s="1"/>
    </row>
    <row r="160" spans="6:6" ht="15.75" customHeight="1">
      <c r="F160" s="1"/>
    </row>
    <row r="161" spans="6:6" ht="15.75" customHeight="1">
      <c r="F161" s="1"/>
    </row>
    <row r="162" spans="6:6" ht="15.75" customHeight="1">
      <c r="F162" s="1"/>
    </row>
    <row r="163" spans="6:6" ht="15.75" customHeight="1">
      <c r="F163" s="1"/>
    </row>
    <row r="164" spans="6:6" ht="15.75" customHeight="1">
      <c r="F164" s="1"/>
    </row>
    <row r="165" spans="6:6" ht="15.75" customHeight="1">
      <c r="F165" s="1"/>
    </row>
    <row r="166" spans="6:6" ht="15.75" customHeight="1">
      <c r="F166" s="1"/>
    </row>
    <row r="167" spans="6:6" ht="15.75" customHeight="1">
      <c r="F167" s="1"/>
    </row>
    <row r="168" spans="6:6" ht="15.75" customHeight="1">
      <c r="F168" s="1"/>
    </row>
    <row r="169" spans="6:6" ht="15.75" customHeight="1">
      <c r="F169" s="1"/>
    </row>
    <row r="170" spans="6:6" ht="15.75" customHeight="1">
      <c r="F170" s="1"/>
    </row>
    <row r="171" spans="6:6" ht="15.75" customHeight="1">
      <c r="F171" s="1"/>
    </row>
    <row r="172" spans="6:6" ht="15.75" customHeight="1">
      <c r="F172" s="1"/>
    </row>
    <row r="173" spans="6:6" ht="15.75" customHeight="1">
      <c r="F173" s="1"/>
    </row>
    <row r="174" spans="6:6" ht="15.75" customHeight="1">
      <c r="F174" s="1"/>
    </row>
    <row r="175" spans="6:6" ht="15.75" customHeight="1">
      <c r="F175" s="1"/>
    </row>
    <row r="176" spans="6:6" ht="15.75" customHeight="1">
      <c r="F176" s="1"/>
    </row>
    <row r="177" spans="6:6" ht="15.75" customHeight="1">
      <c r="F177" s="1"/>
    </row>
    <row r="178" spans="6:6" ht="15.75" customHeight="1">
      <c r="F178" s="1"/>
    </row>
    <row r="179" spans="6:6" ht="15.75" customHeight="1">
      <c r="F179" s="1"/>
    </row>
    <row r="180" spans="6:6" ht="15.75" customHeight="1">
      <c r="F180" s="1"/>
    </row>
    <row r="181" spans="6:6" ht="15.75" customHeight="1">
      <c r="F181" s="1"/>
    </row>
    <row r="182" spans="6:6" ht="15.75" customHeight="1">
      <c r="F182" s="1"/>
    </row>
    <row r="183" spans="6:6" ht="15.75" customHeight="1">
      <c r="F183" s="1"/>
    </row>
    <row r="184" spans="6:6" ht="15.75" customHeight="1">
      <c r="F184" s="1"/>
    </row>
    <row r="185" spans="6:6" ht="15.75" customHeight="1">
      <c r="F185" s="1"/>
    </row>
    <row r="186" spans="6:6" ht="15.75" customHeight="1">
      <c r="F186" s="1"/>
    </row>
    <row r="187" spans="6:6" ht="15.75" customHeight="1">
      <c r="F187" s="1"/>
    </row>
    <row r="188" spans="6:6" ht="15.75" customHeight="1">
      <c r="F188" s="1"/>
    </row>
    <row r="189" spans="6:6" ht="15.75" customHeight="1">
      <c r="F189" s="1"/>
    </row>
    <row r="190" spans="6:6" ht="15.75" customHeight="1">
      <c r="F190" s="1"/>
    </row>
    <row r="191" spans="6:6" ht="15.75" customHeight="1">
      <c r="F191" s="1"/>
    </row>
    <row r="192" spans="6:6" ht="15.75" customHeight="1">
      <c r="F192" s="1"/>
    </row>
    <row r="193" spans="6:6" ht="15.75" customHeight="1">
      <c r="F193" s="1"/>
    </row>
    <row r="194" spans="6:6" ht="15.75" customHeight="1">
      <c r="F194" s="1"/>
    </row>
    <row r="195" spans="6:6" ht="15.75" customHeight="1">
      <c r="F195" s="1"/>
    </row>
    <row r="196" spans="6:6" ht="15.75" customHeight="1">
      <c r="F196" s="1"/>
    </row>
    <row r="197" spans="6:6" ht="15.75" customHeight="1">
      <c r="F197" s="1"/>
    </row>
    <row r="198" spans="6:6" ht="15.75" customHeight="1">
      <c r="F198" s="1"/>
    </row>
    <row r="199" spans="6:6" ht="15.75" customHeight="1">
      <c r="F199" s="1"/>
    </row>
    <row r="200" spans="6:6" ht="15.75" customHeight="1">
      <c r="F200" s="1"/>
    </row>
    <row r="201" spans="6:6" ht="15.75" customHeight="1">
      <c r="F201" s="1"/>
    </row>
    <row r="202" spans="6:6" ht="15.75" customHeight="1">
      <c r="F202" s="1"/>
    </row>
    <row r="203" spans="6:6" ht="15.75" customHeight="1">
      <c r="F203" s="1"/>
    </row>
    <row r="204" spans="6:6" ht="15.75" customHeight="1">
      <c r="F204" s="1"/>
    </row>
    <row r="205" spans="6:6" ht="15.75" customHeight="1">
      <c r="F205" s="1"/>
    </row>
    <row r="206" spans="6:6" ht="15.75" customHeight="1">
      <c r="F206" s="1"/>
    </row>
    <row r="207" spans="6:6" ht="15.75" customHeight="1">
      <c r="F207" s="1"/>
    </row>
    <row r="208" spans="6:6" ht="15.75" customHeight="1">
      <c r="F208" s="1"/>
    </row>
    <row r="209" spans="6:6" ht="15.75" customHeight="1">
      <c r="F209" s="1"/>
    </row>
    <row r="210" spans="6:6" ht="15.75" customHeight="1">
      <c r="F210" s="1"/>
    </row>
    <row r="211" spans="6:6" ht="15.75" customHeight="1">
      <c r="F211" s="1"/>
    </row>
    <row r="212" spans="6:6" ht="15.75" customHeight="1">
      <c r="F212" s="1"/>
    </row>
    <row r="213" spans="6:6" ht="15.75" customHeight="1">
      <c r="F213" s="1"/>
    </row>
    <row r="214" spans="6:6" ht="15.75" customHeight="1">
      <c r="F214" s="1"/>
    </row>
    <row r="215" spans="6:6" ht="15.75" customHeight="1">
      <c r="F215" s="1"/>
    </row>
    <row r="216" spans="6:6" ht="15.75" customHeight="1">
      <c r="F216" s="1"/>
    </row>
    <row r="217" spans="6:6" ht="15.75" customHeight="1">
      <c r="F217" s="1"/>
    </row>
    <row r="218" spans="6:6" ht="15.75" customHeight="1">
      <c r="F218" s="1"/>
    </row>
    <row r="219" spans="6:6" ht="15.75" customHeight="1">
      <c r="F219" s="1"/>
    </row>
    <row r="220" spans="6:6" ht="15.75" customHeight="1">
      <c r="F220" s="1"/>
    </row>
    <row r="221" spans="6:6" ht="15.75" customHeight="1">
      <c r="F221" s="1"/>
    </row>
    <row r="222" spans="6:6" ht="15.75" customHeight="1">
      <c r="F222" s="1"/>
    </row>
    <row r="223" spans="6:6" ht="15.75" customHeight="1">
      <c r="F223" s="1"/>
    </row>
    <row r="224" spans="6:6" ht="15.75" customHeight="1">
      <c r="F224" s="1"/>
    </row>
    <row r="225" spans="6:6" ht="15.75" customHeight="1">
      <c r="F225" s="1"/>
    </row>
    <row r="226" spans="6:6" ht="15.75" customHeight="1">
      <c r="F226" s="1"/>
    </row>
    <row r="227" spans="6:6" ht="15.75" customHeight="1">
      <c r="F227" s="1"/>
    </row>
    <row r="228" spans="6:6" ht="15.75" customHeight="1">
      <c r="F228" s="1"/>
    </row>
    <row r="229" spans="6:6" ht="15.75" customHeight="1">
      <c r="F229" s="1"/>
    </row>
    <row r="230" spans="6:6" ht="15.75" customHeight="1">
      <c r="F230" s="1"/>
    </row>
    <row r="231" spans="6:6" ht="15.75" customHeight="1">
      <c r="F231" s="1"/>
    </row>
    <row r="232" spans="6:6" ht="15.75" customHeight="1">
      <c r="F232" s="1"/>
    </row>
    <row r="233" spans="6:6" ht="15.75" customHeight="1">
      <c r="F233" s="1"/>
    </row>
    <row r="234" spans="6:6" ht="15.75" customHeight="1">
      <c r="F234" s="1"/>
    </row>
    <row r="235" spans="6:6" ht="15.75" customHeight="1">
      <c r="F235" s="1"/>
    </row>
    <row r="236" spans="6:6" ht="15.75" customHeight="1">
      <c r="F236" s="1"/>
    </row>
    <row r="237" spans="6:6" ht="15.75" customHeight="1">
      <c r="F237" s="1"/>
    </row>
    <row r="238" spans="6:6" ht="15.75" customHeight="1">
      <c r="F238" s="1"/>
    </row>
    <row r="239" spans="6:6" ht="15.75" customHeight="1">
      <c r="F239" s="1"/>
    </row>
    <row r="240" spans="6:6" ht="15.75" customHeight="1">
      <c r="F240" s="1"/>
    </row>
    <row r="241" spans="6:6" ht="15.75" customHeight="1">
      <c r="F241" s="1"/>
    </row>
    <row r="242" spans="6:6" ht="15.75" customHeight="1">
      <c r="F242" s="1"/>
    </row>
    <row r="243" spans="6:6" ht="15.75" customHeight="1">
      <c r="F243" s="1"/>
    </row>
    <row r="244" spans="6:6" ht="15.75" customHeight="1">
      <c r="F244" s="1"/>
    </row>
    <row r="245" spans="6:6" ht="15.75" customHeight="1">
      <c r="F245" s="1"/>
    </row>
    <row r="246" spans="6:6" ht="15.75" customHeight="1">
      <c r="F246" s="1"/>
    </row>
    <row r="247" spans="6:6" ht="15.75" customHeight="1">
      <c r="F247" s="1"/>
    </row>
    <row r="248" spans="6:6" ht="15.75" customHeight="1">
      <c r="F248" s="1"/>
    </row>
    <row r="249" spans="6:6" ht="15.75" customHeight="1">
      <c r="F249" s="1"/>
    </row>
    <row r="250" spans="6:6" ht="15.75" customHeight="1">
      <c r="F250" s="1"/>
    </row>
    <row r="251" spans="6:6" ht="15.75" customHeight="1">
      <c r="F251" s="1"/>
    </row>
    <row r="252" spans="6:6" ht="15.75" customHeight="1">
      <c r="F252" s="1"/>
    </row>
    <row r="253" spans="6:6" ht="15.75" customHeight="1">
      <c r="F253" s="1"/>
    </row>
    <row r="254" spans="6:6" ht="15.75" customHeight="1">
      <c r="F254" s="1"/>
    </row>
    <row r="255" spans="6:6" ht="15.75" customHeight="1">
      <c r="F255" s="1"/>
    </row>
    <row r="256" spans="6:6" ht="15.75" customHeight="1">
      <c r="F256" s="1"/>
    </row>
    <row r="257" spans="6:6" ht="15.75" customHeight="1">
      <c r="F257" s="1"/>
    </row>
    <row r="258" spans="6:6" ht="15.75" customHeight="1">
      <c r="F258" s="1"/>
    </row>
    <row r="259" spans="6:6" ht="15.75" customHeight="1">
      <c r="F259" s="1"/>
    </row>
    <row r="260" spans="6:6" ht="15.75" customHeight="1">
      <c r="F260" s="1"/>
    </row>
    <row r="261" spans="6:6" ht="15.75" customHeight="1">
      <c r="F261" s="1"/>
    </row>
    <row r="262" spans="6:6" ht="15.75" customHeight="1">
      <c r="F262" s="1"/>
    </row>
    <row r="263" spans="6:6" ht="15.75" customHeight="1">
      <c r="F263" s="1"/>
    </row>
    <row r="264" spans="6:6" ht="15.75" customHeight="1">
      <c r="F264" s="1"/>
    </row>
    <row r="265" spans="6:6" ht="15.75" customHeight="1">
      <c r="F265" s="1"/>
    </row>
    <row r="266" spans="6:6" ht="15.75" customHeight="1">
      <c r="F266" s="1"/>
    </row>
    <row r="267" spans="6:6" ht="15.75" customHeight="1">
      <c r="F267" s="1"/>
    </row>
    <row r="268" spans="6:6" ht="15.75" customHeight="1">
      <c r="F268" s="1"/>
    </row>
    <row r="269" spans="6:6" ht="15.75" customHeight="1">
      <c r="F269" s="1"/>
    </row>
    <row r="270" spans="6:6" ht="15.75" customHeight="1">
      <c r="F270" s="1"/>
    </row>
    <row r="271" spans="6:6" ht="15.75" customHeight="1">
      <c r="F271" s="1"/>
    </row>
    <row r="272" spans="6:6" ht="15.75" customHeight="1">
      <c r="F272" s="1"/>
    </row>
    <row r="273" spans="6:6" ht="15.75" customHeight="1">
      <c r="F273" s="1"/>
    </row>
    <row r="274" spans="6:6" ht="15.75" customHeight="1">
      <c r="F274" s="1"/>
    </row>
    <row r="275" spans="6:6" ht="15.75" customHeight="1">
      <c r="F275" s="1"/>
    </row>
    <row r="276" spans="6:6" ht="15.75" customHeight="1">
      <c r="F276" s="1"/>
    </row>
    <row r="277" spans="6:6" ht="15.75" customHeight="1">
      <c r="F277" s="1"/>
    </row>
    <row r="278" spans="6:6" ht="15.75" customHeight="1">
      <c r="F278" s="1"/>
    </row>
    <row r="279" spans="6:6" ht="15.75" customHeight="1">
      <c r="F279" s="1"/>
    </row>
    <row r="280" spans="6:6" ht="15.75" customHeight="1">
      <c r="F280" s="1"/>
    </row>
    <row r="281" spans="6:6" ht="15.75" customHeight="1">
      <c r="F281" s="1"/>
    </row>
    <row r="282" spans="6:6" ht="15.75" customHeight="1">
      <c r="F282" s="1"/>
    </row>
    <row r="283" spans="6:6" ht="15.75" customHeight="1">
      <c r="F283" s="1"/>
    </row>
    <row r="284" spans="6:6" ht="15.75" customHeight="1">
      <c r="F284" s="1"/>
    </row>
    <row r="285" spans="6:6" ht="15.75" customHeight="1">
      <c r="F285" s="1"/>
    </row>
    <row r="286" spans="6:6" ht="15.75" customHeight="1">
      <c r="F286" s="1"/>
    </row>
    <row r="287" spans="6:6" ht="15.75" customHeight="1">
      <c r="F287" s="1"/>
    </row>
    <row r="288" spans="6:6" ht="15.75" customHeight="1">
      <c r="F288" s="1"/>
    </row>
    <row r="289" spans="6:6" ht="15.75" customHeight="1">
      <c r="F289" s="1"/>
    </row>
    <row r="290" spans="6:6" ht="15.75" customHeight="1">
      <c r="F290" s="1"/>
    </row>
    <row r="291" spans="6:6" ht="15.75" customHeight="1">
      <c r="F291" s="1"/>
    </row>
    <row r="292" spans="6:6" ht="15.75" customHeight="1">
      <c r="F292" s="1"/>
    </row>
    <row r="293" spans="6:6" ht="15.75" customHeight="1">
      <c r="F293" s="1"/>
    </row>
    <row r="294" spans="6:6" ht="15.75" customHeight="1">
      <c r="F294" s="1"/>
    </row>
    <row r="295" spans="6:6" ht="15.75" customHeight="1">
      <c r="F295" s="1"/>
    </row>
    <row r="296" spans="6:6" ht="15.75" customHeight="1">
      <c r="F296" s="1"/>
    </row>
    <row r="297" spans="6:6" ht="15.75" customHeight="1">
      <c r="F297" s="1"/>
    </row>
    <row r="298" spans="6:6" ht="15.75" customHeight="1">
      <c r="F298" s="1"/>
    </row>
    <row r="299" spans="6:6" ht="15.75" customHeight="1">
      <c r="F299" s="1"/>
    </row>
    <row r="300" spans="6:6" ht="15.75" customHeight="1">
      <c r="F300" s="1"/>
    </row>
    <row r="301" spans="6:6" ht="15.75" customHeight="1">
      <c r="F301" s="1"/>
    </row>
    <row r="302" spans="6:6" ht="15.75" customHeight="1">
      <c r="F302" s="1"/>
    </row>
    <row r="303" spans="6:6" ht="15.75" customHeight="1">
      <c r="F303" s="1"/>
    </row>
    <row r="304" spans="6:6" ht="15.75" customHeight="1">
      <c r="F304" s="1"/>
    </row>
    <row r="305" spans="6:6" ht="15.75" customHeight="1">
      <c r="F305" s="1"/>
    </row>
    <row r="306" spans="6:6" ht="15.75" customHeight="1">
      <c r="F306" s="1"/>
    </row>
    <row r="307" spans="6:6" ht="15.75" customHeight="1">
      <c r="F307" s="1"/>
    </row>
    <row r="308" spans="6:6" ht="15.75" customHeight="1">
      <c r="F308" s="1"/>
    </row>
    <row r="309" spans="6:6" ht="15.75" customHeight="1">
      <c r="F309" s="1"/>
    </row>
    <row r="310" spans="6:6" ht="15.75" customHeight="1">
      <c r="F310" s="1"/>
    </row>
    <row r="311" spans="6:6" ht="15.75" customHeight="1">
      <c r="F311" s="1"/>
    </row>
    <row r="312" spans="6:6" ht="15.75" customHeight="1">
      <c r="F312" s="1"/>
    </row>
    <row r="313" spans="6:6" ht="15.75" customHeight="1">
      <c r="F313" s="1"/>
    </row>
    <row r="314" spans="6:6" ht="15.75" customHeight="1">
      <c r="F314" s="1"/>
    </row>
    <row r="315" spans="6:6" ht="15.75" customHeight="1">
      <c r="F315" s="1"/>
    </row>
    <row r="316" spans="6:6" ht="15.75" customHeight="1">
      <c r="F316" s="1"/>
    </row>
    <row r="317" spans="6:6" ht="15.75" customHeight="1">
      <c r="F317" s="1"/>
    </row>
    <row r="318" spans="6:6" ht="15.75" customHeight="1">
      <c r="F318" s="1"/>
    </row>
    <row r="319" spans="6:6" ht="15.75" customHeight="1">
      <c r="F319" s="1"/>
    </row>
    <row r="320" spans="6:6" ht="15.75" customHeight="1">
      <c r="F320" s="1"/>
    </row>
    <row r="321" spans="6:6" ht="15.75" customHeight="1">
      <c r="F321" s="1"/>
    </row>
    <row r="322" spans="6:6" ht="15.75" customHeight="1">
      <c r="F322" s="1"/>
    </row>
    <row r="323" spans="6:6" ht="15.75" customHeight="1">
      <c r="F323" s="1"/>
    </row>
    <row r="324" spans="6:6" ht="15.75" customHeight="1">
      <c r="F324" s="1"/>
    </row>
    <row r="325" spans="6:6" ht="15.75" customHeight="1">
      <c r="F325" s="1"/>
    </row>
    <row r="326" spans="6:6" ht="15.75" customHeight="1">
      <c r="F326" s="1"/>
    </row>
    <row r="327" spans="6:6" ht="15.75" customHeight="1">
      <c r="F327" s="1"/>
    </row>
    <row r="328" spans="6:6" ht="15.75" customHeight="1">
      <c r="F328" s="1"/>
    </row>
    <row r="329" spans="6:6" ht="15.75" customHeight="1">
      <c r="F329" s="1"/>
    </row>
    <row r="330" spans="6:6" ht="15.75" customHeight="1">
      <c r="F330" s="1"/>
    </row>
    <row r="331" spans="6:6" ht="15.75" customHeight="1">
      <c r="F331" s="1"/>
    </row>
    <row r="332" spans="6:6" ht="15.75" customHeight="1">
      <c r="F332" s="1"/>
    </row>
    <row r="333" spans="6:6" ht="15.75" customHeight="1">
      <c r="F333" s="1"/>
    </row>
    <row r="334" spans="6:6" ht="15.75" customHeight="1">
      <c r="F334" s="1"/>
    </row>
    <row r="335" spans="6:6" ht="15.75" customHeight="1">
      <c r="F335" s="1"/>
    </row>
    <row r="336" spans="6:6" ht="15.75" customHeight="1">
      <c r="F336" s="1"/>
    </row>
    <row r="337" spans="6:6" ht="15.75" customHeight="1">
      <c r="F337" s="1"/>
    </row>
    <row r="338" spans="6:6" ht="15.75" customHeight="1">
      <c r="F338" s="1"/>
    </row>
    <row r="339" spans="6:6" ht="15.75" customHeight="1">
      <c r="F339" s="1"/>
    </row>
    <row r="340" spans="6:6" ht="15.75" customHeight="1">
      <c r="F340" s="1"/>
    </row>
    <row r="341" spans="6:6" ht="15.75" customHeight="1">
      <c r="F341" s="1"/>
    </row>
    <row r="342" spans="6:6" ht="15.75" customHeight="1">
      <c r="F342" s="1"/>
    </row>
    <row r="343" spans="6:6" ht="15.75" customHeight="1">
      <c r="F343" s="1"/>
    </row>
    <row r="344" spans="6:6" ht="15.75" customHeight="1">
      <c r="F344" s="1"/>
    </row>
    <row r="345" spans="6:6" ht="15.75" customHeight="1">
      <c r="F345" s="1"/>
    </row>
    <row r="346" spans="6:6" ht="15.75" customHeight="1">
      <c r="F346" s="1"/>
    </row>
    <row r="347" spans="6:6" ht="15.75" customHeight="1">
      <c r="F347" s="1"/>
    </row>
    <row r="348" spans="6:6" ht="15.75" customHeight="1">
      <c r="F348" s="1"/>
    </row>
    <row r="349" spans="6:6" ht="15.75" customHeight="1">
      <c r="F349" s="1"/>
    </row>
    <row r="350" spans="6:6" ht="15.75" customHeight="1">
      <c r="F350" s="1"/>
    </row>
    <row r="351" spans="6:6" ht="15.75" customHeight="1">
      <c r="F351" s="1"/>
    </row>
    <row r="352" spans="6:6" ht="15.75" customHeight="1">
      <c r="F352" s="1"/>
    </row>
    <row r="353" spans="6:6" ht="15.75" customHeight="1">
      <c r="F353" s="1"/>
    </row>
    <row r="354" spans="6:6" ht="15.75" customHeight="1">
      <c r="F354" s="1"/>
    </row>
    <row r="355" spans="6:6" ht="15.75" customHeight="1">
      <c r="F355" s="1"/>
    </row>
    <row r="356" spans="6:6" ht="15.75" customHeight="1">
      <c r="F356" s="1"/>
    </row>
    <row r="357" spans="6:6" ht="15.75" customHeight="1">
      <c r="F357" s="1"/>
    </row>
    <row r="358" spans="6:6" ht="15.75" customHeight="1">
      <c r="F358" s="1"/>
    </row>
    <row r="359" spans="6:6" ht="15.75" customHeight="1">
      <c r="F359" s="1"/>
    </row>
    <row r="360" spans="6:6" ht="15.75" customHeight="1">
      <c r="F360" s="1"/>
    </row>
    <row r="361" spans="6:6" ht="15.75" customHeight="1">
      <c r="F361" s="1"/>
    </row>
    <row r="362" spans="6:6" ht="15.75" customHeight="1">
      <c r="F362" s="1"/>
    </row>
    <row r="363" spans="6:6" ht="15.75" customHeight="1">
      <c r="F363" s="1"/>
    </row>
    <row r="364" spans="6:6" ht="15.75" customHeight="1">
      <c r="F364" s="1"/>
    </row>
    <row r="365" spans="6:6" ht="15.75" customHeight="1">
      <c r="F365" s="1"/>
    </row>
    <row r="366" spans="6:6" ht="15.75" customHeight="1">
      <c r="F366" s="1"/>
    </row>
    <row r="367" spans="6:6" ht="15.75" customHeight="1">
      <c r="F367" s="1"/>
    </row>
    <row r="368" spans="6:6" ht="15.75" customHeight="1">
      <c r="F368" s="1"/>
    </row>
    <row r="369" spans="6:6" ht="15.75" customHeight="1">
      <c r="F369" s="1"/>
    </row>
    <row r="370" spans="6:6" ht="15.75" customHeight="1">
      <c r="F370" s="1"/>
    </row>
    <row r="371" spans="6:6" ht="15.75" customHeight="1">
      <c r="F371" s="1"/>
    </row>
    <row r="372" spans="6:6" ht="15.75" customHeight="1">
      <c r="F372" s="1"/>
    </row>
    <row r="373" spans="6:6" ht="15.75" customHeight="1">
      <c r="F373" s="1"/>
    </row>
    <row r="374" spans="6:6" ht="15.75" customHeight="1">
      <c r="F374" s="1"/>
    </row>
    <row r="375" spans="6:6" ht="15.75" customHeight="1">
      <c r="F375" s="1"/>
    </row>
    <row r="376" spans="6:6" ht="15.75" customHeight="1">
      <c r="F376" s="1"/>
    </row>
    <row r="377" spans="6:6" ht="15.75" customHeight="1">
      <c r="F377" s="1"/>
    </row>
    <row r="378" spans="6:6" ht="15.75" customHeight="1">
      <c r="F378" s="1"/>
    </row>
    <row r="379" spans="6:6" ht="15.75" customHeight="1">
      <c r="F379" s="1"/>
    </row>
    <row r="380" spans="6:6" ht="15.75" customHeight="1">
      <c r="F380" s="1"/>
    </row>
    <row r="381" spans="6:6" ht="15.75" customHeight="1">
      <c r="F381" s="1"/>
    </row>
    <row r="382" spans="6:6" ht="15.75" customHeight="1">
      <c r="F382" s="1"/>
    </row>
    <row r="383" spans="6:6" ht="15.75" customHeight="1">
      <c r="F383" s="1"/>
    </row>
    <row r="384" spans="6:6" ht="15.75" customHeight="1">
      <c r="F384" s="1"/>
    </row>
    <row r="385" spans="6:6" ht="15.75" customHeight="1">
      <c r="F385" s="1"/>
    </row>
    <row r="386" spans="6:6" ht="15.75" customHeight="1">
      <c r="F386" s="1"/>
    </row>
    <row r="387" spans="6:6" ht="15.75" customHeight="1">
      <c r="F387" s="1"/>
    </row>
    <row r="388" spans="6:6" ht="15.75" customHeight="1">
      <c r="F388" s="1"/>
    </row>
    <row r="389" spans="6:6" ht="15.75" customHeight="1">
      <c r="F389" s="1"/>
    </row>
    <row r="390" spans="6:6" ht="15.75" customHeight="1">
      <c r="F390" s="1"/>
    </row>
    <row r="391" spans="6:6" ht="15.75" customHeight="1">
      <c r="F391" s="1"/>
    </row>
    <row r="392" spans="6:6" ht="15.75" customHeight="1">
      <c r="F392" s="1"/>
    </row>
    <row r="393" spans="6:6" ht="15.75" customHeight="1">
      <c r="F393" s="1"/>
    </row>
    <row r="394" spans="6:6" ht="15.75" customHeight="1">
      <c r="F394" s="1"/>
    </row>
    <row r="395" spans="6:6" ht="15.75" customHeight="1">
      <c r="F395" s="1"/>
    </row>
    <row r="396" spans="6:6" ht="15.75" customHeight="1">
      <c r="F396" s="1"/>
    </row>
    <row r="397" spans="6:6" ht="15.75" customHeight="1">
      <c r="F397" s="1"/>
    </row>
    <row r="398" spans="6:6" ht="15.75" customHeight="1">
      <c r="F398" s="1"/>
    </row>
    <row r="399" spans="6:6" ht="15.75" customHeight="1">
      <c r="F399" s="1"/>
    </row>
    <row r="400" spans="6:6" ht="15.75" customHeight="1">
      <c r="F400" s="1"/>
    </row>
    <row r="401" spans="6:6" ht="15.75" customHeight="1">
      <c r="F401" s="1"/>
    </row>
    <row r="402" spans="6:6" ht="15.75" customHeight="1">
      <c r="F402" s="1"/>
    </row>
    <row r="403" spans="6:6" ht="15.75" customHeight="1">
      <c r="F403" s="1"/>
    </row>
    <row r="404" spans="6:6" ht="15.75" customHeight="1">
      <c r="F404" s="1"/>
    </row>
    <row r="405" spans="6:6" ht="15.75" customHeight="1">
      <c r="F405" s="1"/>
    </row>
    <row r="406" spans="6:6" ht="15.75" customHeight="1">
      <c r="F406" s="1"/>
    </row>
    <row r="407" spans="6:6" ht="15.75" customHeight="1">
      <c r="F407" s="1"/>
    </row>
    <row r="408" spans="6:6" ht="15.75" customHeight="1">
      <c r="F408" s="1"/>
    </row>
    <row r="409" spans="6:6" ht="15.75" customHeight="1">
      <c r="F409" s="1"/>
    </row>
    <row r="410" spans="6:6" ht="15.75" customHeight="1">
      <c r="F410" s="1"/>
    </row>
    <row r="411" spans="6:6" ht="15.75" customHeight="1">
      <c r="F411" s="1"/>
    </row>
    <row r="412" spans="6:6" ht="15.75" customHeight="1">
      <c r="F412" s="1"/>
    </row>
    <row r="413" spans="6:6" ht="15.75" customHeight="1">
      <c r="F413" s="1"/>
    </row>
    <row r="414" spans="6:6" ht="15.75" customHeight="1">
      <c r="F414" s="1"/>
    </row>
    <row r="415" spans="6:6" ht="15.75" customHeight="1">
      <c r="F415" s="1"/>
    </row>
    <row r="416" spans="6:6" ht="15.75" customHeight="1">
      <c r="F416" s="1"/>
    </row>
    <row r="417" spans="6:6" ht="15.75" customHeight="1">
      <c r="F417" s="1"/>
    </row>
    <row r="418" spans="6:6" ht="15.75" customHeight="1">
      <c r="F418" s="1"/>
    </row>
    <row r="419" spans="6:6" ht="15.75" customHeight="1">
      <c r="F419" s="1"/>
    </row>
    <row r="420" spans="6:6" ht="15.75" customHeight="1">
      <c r="F420" s="1"/>
    </row>
    <row r="421" spans="6:6" ht="15.75" customHeight="1">
      <c r="F421" s="1"/>
    </row>
    <row r="422" spans="6:6" ht="15.75" customHeight="1">
      <c r="F422" s="1"/>
    </row>
    <row r="423" spans="6:6" ht="15.75" customHeight="1">
      <c r="F423" s="1"/>
    </row>
    <row r="424" spans="6:6" ht="15.75" customHeight="1">
      <c r="F424" s="1"/>
    </row>
    <row r="425" spans="6:6" ht="15.75" customHeight="1">
      <c r="F425" s="1"/>
    </row>
    <row r="426" spans="6:6" ht="15.75" customHeight="1">
      <c r="F426" s="1"/>
    </row>
    <row r="427" spans="6:6" ht="15.75" customHeight="1">
      <c r="F427" s="1"/>
    </row>
    <row r="428" spans="6:6" ht="15.75" customHeight="1">
      <c r="F428" s="1"/>
    </row>
    <row r="429" spans="6:6" ht="15.75" customHeight="1">
      <c r="F429" s="1"/>
    </row>
    <row r="430" spans="6:6" ht="15.75" customHeight="1">
      <c r="F430" s="1"/>
    </row>
    <row r="431" spans="6:6" ht="15.75" customHeight="1">
      <c r="F431" s="1"/>
    </row>
    <row r="432" spans="6:6" ht="15.75" customHeight="1">
      <c r="F432" s="1"/>
    </row>
    <row r="433" spans="6:6" ht="15.75" customHeight="1">
      <c r="F433" s="1"/>
    </row>
    <row r="434" spans="6:6" ht="15.75" customHeight="1">
      <c r="F434" s="1"/>
    </row>
    <row r="435" spans="6:6" ht="15.75" customHeight="1">
      <c r="F435" s="1"/>
    </row>
    <row r="436" spans="6:6" ht="15.75" customHeight="1">
      <c r="F436" s="1"/>
    </row>
    <row r="437" spans="6:6" ht="15.75" customHeight="1">
      <c r="F437" s="1"/>
    </row>
    <row r="438" spans="6:6" ht="15.75" customHeight="1">
      <c r="F438" s="1"/>
    </row>
    <row r="439" spans="6:6" ht="15.75" customHeight="1">
      <c r="F439" s="1"/>
    </row>
    <row r="440" spans="6:6" ht="15.75" customHeight="1">
      <c r="F440" s="1"/>
    </row>
    <row r="441" spans="6:6" ht="15.75" customHeight="1">
      <c r="F441" s="1"/>
    </row>
    <row r="442" spans="6:6" ht="15.75" customHeight="1">
      <c r="F442" s="1"/>
    </row>
    <row r="443" spans="6:6" ht="15.75" customHeight="1">
      <c r="F443" s="1"/>
    </row>
    <row r="444" spans="6:6" ht="15.75" customHeight="1">
      <c r="F444" s="1"/>
    </row>
    <row r="445" spans="6:6" ht="15.75" customHeight="1">
      <c r="F445" s="1"/>
    </row>
    <row r="446" spans="6:6" ht="15.75" customHeight="1">
      <c r="F446" s="1"/>
    </row>
    <row r="447" spans="6:6" ht="15.75" customHeight="1">
      <c r="F447" s="1"/>
    </row>
    <row r="448" spans="6:6" ht="15.75" customHeight="1">
      <c r="F448" s="1"/>
    </row>
    <row r="449" spans="6:6" ht="15.75" customHeight="1">
      <c r="F449" s="1"/>
    </row>
    <row r="450" spans="6:6" ht="15.75" customHeight="1">
      <c r="F450" s="1"/>
    </row>
    <row r="451" spans="6:6" ht="15.75" customHeight="1">
      <c r="F451" s="1"/>
    </row>
    <row r="452" spans="6:6" ht="15.75" customHeight="1">
      <c r="F452" s="1"/>
    </row>
    <row r="453" spans="6:6" ht="15.75" customHeight="1">
      <c r="F453" s="1"/>
    </row>
    <row r="454" spans="6:6" ht="15.75" customHeight="1">
      <c r="F454" s="1"/>
    </row>
    <row r="455" spans="6:6" ht="15.75" customHeight="1">
      <c r="F455" s="1"/>
    </row>
    <row r="456" spans="6:6" ht="15.75" customHeight="1">
      <c r="F456" s="1"/>
    </row>
    <row r="457" spans="6:6" ht="15.75" customHeight="1">
      <c r="F457" s="1"/>
    </row>
    <row r="458" spans="6:6" ht="15.75" customHeight="1">
      <c r="F458" s="1"/>
    </row>
    <row r="459" spans="6:6" ht="15.75" customHeight="1">
      <c r="F459" s="1"/>
    </row>
    <row r="460" spans="6:6" ht="15.75" customHeight="1">
      <c r="F460" s="1"/>
    </row>
    <row r="461" spans="6:6" ht="15.75" customHeight="1">
      <c r="F461" s="1"/>
    </row>
    <row r="462" spans="6:6" ht="15.75" customHeight="1">
      <c r="F462" s="1"/>
    </row>
    <row r="463" spans="6:6" ht="15.75" customHeight="1">
      <c r="F463" s="1"/>
    </row>
    <row r="464" spans="6:6" ht="15.75" customHeight="1">
      <c r="F464" s="1"/>
    </row>
    <row r="465" spans="6:6" ht="15.75" customHeight="1">
      <c r="F465" s="1"/>
    </row>
    <row r="466" spans="6:6" ht="15.75" customHeight="1">
      <c r="F466" s="1"/>
    </row>
    <row r="467" spans="6:6" ht="15.75" customHeight="1">
      <c r="F467" s="1"/>
    </row>
    <row r="468" spans="6:6" ht="15.75" customHeight="1">
      <c r="F468" s="1"/>
    </row>
    <row r="469" spans="6:6" ht="15.75" customHeight="1">
      <c r="F469" s="1"/>
    </row>
    <row r="470" spans="6:6" ht="15.75" customHeight="1">
      <c r="F470" s="1"/>
    </row>
    <row r="471" spans="6:6" ht="15.75" customHeight="1">
      <c r="F471" s="1"/>
    </row>
    <row r="472" spans="6:6" ht="15.75" customHeight="1">
      <c r="F472" s="1"/>
    </row>
    <row r="473" spans="6:6" ht="15.75" customHeight="1">
      <c r="F473" s="1"/>
    </row>
    <row r="474" spans="6:6" ht="15.75" customHeight="1">
      <c r="F474" s="1"/>
    </row>
    <row r="475" spans="6:6" ht="15.75" customHeight="1">
      <c r="F475" s="1"/>
    </row>
    <row r="476" spans="6:6" ht="15.75" customHeight="1">
      <c r="F476" s="1"/>
    </row>
    <row r="477" spans="6:6" ht="15.75" customHeight="1">
      <c r="F477" s="1"/>
    </row>
    <row r="478" spans="6:6" ht="15.75" customHeight="1">
      <c r="F478" s="1"/>
    </row>
    <row r="479" spans="6:6" ht="15.75" customHeight="1">
      <c r="F479" s="1"/>
    </row>
    <row r="480" spans="6:6" ht="15.75" customHeight="1">
      <c r="F480" s="1"/>
    </row>
    <row r="481" spans="6:6" ht="15.75" customHeight="1">
      <c r="F481" s="1"/>
    </row>
    <row r="482" spans="6:6" ht="15.75" customHeight="1">
      <c r="F482" s="1"/>
    </row>
    <row r="483" spans="6:6" ht="15.75" customHeight="1">
      <c r="F483" s="1"/>
    </row>
    <row r="484" spans="6:6" ht="15.75" customHeight="1">
      <c r="F484" s="1"/>
    </row>
    <row r="485" spans="6:6" ht="15.75" customHeight="1">
      <c r="F485" s="1"/>
    </row>
    <row r="486" spans="6:6" ht="15.75" customHeight="1">
      <c r="F486" s="1"/>
    </row>
    <row r="487" spans="6:6" ht="15.75" customHeight="1">
      <c r="F487" s="1"/>
    </row>
    <row r="488" spans="6:6" ht="15.75" customHeight="1">
      <c r="F488" s="1"/>
    </row>
    <row r="489" spans="6:6" ht="15.75" customHeight="1">
      <c r="F489" s="1"/>
    </row>
    <row r="490" spans="6:6" ht="15.75" customHeight="1">
      <c r="F490" s="1"/>
    </row>
    <row r="491" spans="6:6" ht="15.75" customHeight="1">
      <c r="F491" s="1"/>
    </row>
    <row r="492" spans="6:6" ht="15.75" customHeight="1">
      <c r="F492" s="1"/>
    </row>
    <row r="493" spans="6:6" ht="15.75" customHeight="1">
      <c r="F493" s="1"/>
    </row>
    <row r="494" spans="6:6" ht="15.75" customHeight="1">
      <c r="F494" s="1"/>
    </row>
    <row r="495" spans="6:6" ht="15.75" customHeight="1">
      <c r="F495" s="1"/>
    </row>
    <row r="496" spans="6:6" ht="15.75" customHeight="1">
      <c r="F496" s="1"/>
    </row>
    <row r="497" spans="6:6" ht="15.75" customHeight="1">
      <c r="F497" s="1"/>
    </row>
    <row r="498" spans="6:6" ht="15.75" customHeight="1">
      <c r="F498" s="1"/>
    </row>
    <row r="499" spans="6:6" ht="15.75" customHeight="1">
      <c r="F499" s="1"/>
    </row>
    <row r="500" spans="6:6" ht="15.75" customHeight="1">
      <c r="F500" s="1"/>
    </row>
    <row r="501" spans="6:6" ht="15.75" customHeight="1">
      <c r="F501" s="1"/>
    </row>
    <row r="502" spans="6:6" ht="15.75" customHeight="1">
      <c r="F502" s="1"/>
    </row>
    <row r="503" spans="6:6" ht="15.75" customHeight="1">
      <c r="F503" s="1"/>
    </row>
    <row r="504" spans="6:6" ht="15.75" customHeight="1">
      <c r="F504" s="1"/>
    </row>
    <row r="505" spans="6:6" ht="15.75" customHeight="1">
      <c r="F505" s="1"/>
    </row>
    <row r="506" spans="6:6" ht="15.75" customHeight="1">
      <c r="F506" s="1"/>
    </row>
    <row r="507" spans="6:6" ht="15.75" customHeight="1">
      <c r="F507" s="1"/>
    </row>
    <row r="508" spans="6:6" ht="15.75" customHeight="1">
      <c r="F508" s="1"/>
    </row>
    <row r="509" spans="6:6" ht="15.75" customHeight="1">
      <c r="F509" s="1"/>
    </row>
    <row r="510" spans="6:6" ht="15.75" customHeight="1">
      <c r="F510" s="1"/>
    </row>
    <row r="511" spans="6:6" ht="15.75" customHeight="1">
      <c r="F511" s="1"/>
    </row>
    <row r="512" spans="6:6" ht="15.75" customHeight="1">
      <c r="F512" s="1"/>
    </row>
    <row r="513" spans="6:6" ht="15.75" customHeight="1">
      <c r="F513" s="1"/>
    </row>
    <row r="514" spans="6:6" ht="15.75" customHeight="1">
      <c r="F514" s="1"/>
    </row>
    <row r="515" spans="6:6" ht="15.75" customHeight="1">
      <c r="F515" s="1"/>
    </row>
    <row r="516" spans="6:6" ht="15.75" customHeight="1">
      <c r="F516" s="1"/>
    </row>
    <row r="517" spans="6:6" ht="15.75" customHeight="1">
      <c r="F517" s="1"/>
    </row>
    <row r="518" spans="6:6" ht="15.75" customHeight="1">
      <c r="F518" s="1"/>
    </row>
    <row r="519" spans="6:6" ht="15.75" customHeight="1">
      <c r="F519" s="1"/>
    </row>
    <row r="520" spans="6:6" ht="15.75" customHeight="1">
      <c r="F520" s="1"/>
    </row>
    <row r="521" spans="6:6" ht="15.75" customHeight="1">
      <c r="F521" s="1"/>
    </row>
    <row r="522" spans="6:6" ht="15.75" customHeight="1">
      <c r="F522" s="1"/>
    </row>
    <row r="523" spans="6:6" ht="15.75" customHeight="1">
      <c r="F523" s="1"/>
    </row>
    <row r="524" spans="6:6" ht="15.75" customHeight="1">
      <c r="F524" s="1"/>
    </row>
    <row r="525" spans="6:6" ht="15.75" customHeight="1">
      <c r="F525" s="1"/>
    </row>
    <row r="526" spans="6:6" ht="15.75" customHeight="1">
      <c r="F526" s="1"/>
    </row>
    <row r="527" spans="6:6" ht="15.75" customHeight="1">
      <c r="F527" s="1"/>
    </row>
    <row r="528" spans="6:6" ht="15.75" customHeight="1">
      <c r="F528" s="1"/>
    </row>
    <row r="529" spans="6:6" ht="15.75" customHeight="1">
      <c r="F529" s="1"/>
    </row>
    <row r="530" spans="6:6" ht="15.75" customHeight="1">
      <c r="F530" s="1"/>
    </row>
    <row r="531" spans="6:6" ht="15.75" customHeight="1">
      <c r="F531" s="1"/>
    </row>
    <row r="532" spans="6:6" ht="15.75" customHeight="1">
      <c r="F532" s="1"/>
    </row>
    <row r="533" spans="6:6" ht="15.75" customHeight="1">
      <c r="F533" s="1"/>
    </row>
    <row r="534" spans="6:6" ht="15.75" customHeight="1">
      <c r="F534" s="1"/>
    </row>
    <row r="535" spans="6:6" ht="15.75" customHeight="1">
      <c r="F535" s="1"/>
    </row>
    <row r="536" spans="6:6" ht="15.75" customHeight="1">
      <c r="F536" s="1"/>
    </row>
    <row r="537" spans="6:6" ht="15.75" customHeight="1">
      <c r="F537" s="1"/>
    </row>
    <row r="538" spans="6:6" ht="15.75" customHeight="1">
      <c r="F538" s="1"/>
    </row>
    <row r="539" spans="6:6" ht="15.75" customHeight="1">
      <c r="F539" s="1"/>
    </row>
    <row r="540" spans="6:6" ht="15.75" customHeight="1">
      <c r="F540" s="1"/>
    </row>
    <row r="541" spans="6:6" ht="15.75" customHeight="1">
      <c r="F541" s="1"/>
    </row>
    <row r="542" spans="6:6" ht="15.75" customHeight="1">
      <c r="F542" s="1"/>
    </row>
    <row r="543" spans="6:6" ht="15.75" customHeight="1">
      <c r="F543" s="1"/>
    </row>
    <row r="544" spans="6:6" ht="15.75" customHeight="1">
      <c r="F544" s="1"/>
    </row>
    <row r="545" spans="6:6" ht="15.75" customHeight="1">
      <c r="F545" s="1"/>
    </row>
    <row r="546" spans="6:6" ht="15.75" customHeight="1">
      <c r="F546" s="1"/>
    </row>
    <row r="547" spans="6:6" ht="15.75" customHeight="1">
      <c r="F547" s="1"/>
    </row>
    <row r="548" spans="6:6" ht="15.75" customHeight="1">
      <c r="F548" s="1"/>
    </row>
    <row r="549" spans="6:6" ht="15.75" customHeight="1">
      <c r="F549" s="1"/>
    </row>
    <row r="550" spans="6:6" ht="15.75" customHeight="1">
      <c r="F550" s="1"/>
    </row>
    <row r="551" spans="6:6" ht="15.75" customHeight="1">
      <c r="F551" s="1"/>
    </row>
    <row r="552" spans="6:6" ht="15.75" customHeight="1">
      <c r="F552" s="1"/>
    </row>
    <row r="553" spans="6:6" ht="15.75" customHeight="1">
      <c r="F553" s="1"/>
    </row>
    <row r="554" spans="6:6" ht="15.75" customHeight="1">
      <c r="F554" s="1"/>
    </row>
    <row r="555" spans="6:6" ht="15.75" customHeight="1">
      <c r="F555" s="1"/>
    </row>
    <row r="556" spans="6:6" ht="15.75" customHeight="1">
      <c r="F556" s="1"/>
    </row>
    <row r="557" spans="6:6" ht="15.75" customHeight="1">
      <c r="F557" s="1"/>
    </row>
    <row r="558" spans="6:6" ht="15.75" customHeight="1">
      <c r="F558" s="1"/>
    </row>
    <row r="559" spans="6:6" ht="15.75" customHeight="1">
      <c r="F559" s="1"/>
    </row>
    <row r="560" spans="6:6" ht="15.75" customHeight="1">
      <c r="F560" s="1"/>
    </row>
    <row r="561" spans="6:6" ht="15.75" customHeight="1">
      <c r="F561" s="1"/>
    </row>
    <row r="562" spans="6:6" ht="15.75" customHeight="1">
      <c r="F562" s="1"/>
    </row>
    <row r="563" spans="6:6" ht="15.75" customHeight="1">
      <c r="F563" s="1"/>
    </row>
    <row r="564" spans="6:6" ht="15.75" customHeight="1">
      <c r="F564" s="1"/>
    </row>
    <row r="565" spans="6:6" ht="15.75" customHeight="1">
      <c r="F565" s="1"/>
    </row>
    <row r="566" spans="6:6" ht="15.75" customHeight="1">
      <c r="F566" s="1"/>
    </row>
    <row r="567" spans="6:6" ht="15.75" customHeight="1">
      <c r="F567" s="1"/>
    </row>
    <row r="568" spans="6:6" ht="15.75" customHeight="1">
      <c r="F568" s="1"/>
    </row>
    <row r="569" spans="6:6" ht="15.75" customHeight="1">
      <c r="F569" s="1"/>
    </row>
    <row r="570" spans="6:6" ht="15.75" customHeight="1">
      <c r="F570" s="1"/>
    </row>
    <row r="571" spans="6:6" ht="15.75" customHeight="1">
      <c r="F571" s="1"/>
    </row>
    <row r="572" spans="6:6" ht="15.75" customHeight="1">
      <c r="F572" s="1"/>
    </row>
    <row r="573" spans="6:6" ht="15.75" customHeight="1">
      <c r="F573" s="1"/>
    </row>
    <row r="574" spans="6:6" ht="15.75" customHeight="1">
      <c r="F574" s="1"/>
    </row>
    <row r="575" spans="6:6" ht="15.75" customHeight="1">
      <c r="F575" s="1"/>
    </row>
    <row r="576" spans="6:6" ht="15.75" customHeight="1">
      <c r="F576" s="1"/>
    </row>
    <row r="577" spans="6:6" ht="15.75" customHeight="1">
      <c r="F577" s="1"/>
    </row>
    <row r="578" spans="6:6" ht="15.75" customHeight="1">
      <c r="F578" s="1"/>
    </row>
    <row r="579" spans="6:6" ht="15.75" customHeight="1">
      <c r="F579" s="1"/>
    </row>
    <row r="580" spans="6:6" ht="15.75" customHeight="1">
      <c r="F580" s="1"/>
    </row>
    <row r="581" spans="6:6" ht="15.75" customHeight="1">
      <c r="F581" s="1"/>
    </row>
    <row r="582" spans="6:6" ht="15.75" customHeight="1">
      <c r="F582" s="1"/>
    </row>
    <row r="583" spans="6:6" ht="15.75" customHeight="1">
      <c r="F583" s="1"/>
    </row>
    <row r="584" spans="6:6" ht="15.75" customHeight="1">
      <c r="F584" s="1"/>
    </row>
    <row r="585" spans="6:6" ht="15.75" customHeight="1">
      <c r="F585" s="1"/>
    </row>
    <row r="586" spans="6:6" ht="15.75" customHeight="1">
      <c r="F586" s="1"/>
    </row>
    <row r="587" spans="6:6" ht="15.75" customHeight="1">
      <c r="F587" s="1"/>
    </row>
    <row r="588" spans="6:6" ht="15.75" customHeight="1">
      <c r="F588" s="1"/>
    </row>
    <row r="589" spans="6:6" ht="15.75" customHeight="1">
      <c r="F589" s="1"/>
    </row>
    <row r="590" spans="6:6" ht="15.75" customHeight="1">
      <c r="F590" s="1"/>
    </row>
    <row r="591" spans="6:6" ht="15.75" customHeight="1">
      <c r="F591" s="1"/>
    </row>
    <row r="592" spans="6:6" ht="15.75" customHeight="1">
      <c r="F592" s="1"/>
    </row>
    <row r="593" spans="6:6" ht="15.75" customHeight="1">
      <c r="F593" s="1"/>
    </row>
    <row r="594" spans="6:6" ht="15.75" customHeight="1">
      <c r="F594" s="1"/>
    </row>
    <row r="595" spans="6:6" ht="15.75" customHeight="1">
      <c r="F595" s="1"/>
    </row>
    <row r="596" spans="6:6" ht="15.75" customHeight="1">
      <c r="F596" s="1"/>
    </row>
    <row r="597" spans="6:6" ht="15.75" customHeight="1">
      <c r="F597" s="1"/>
    </row>
    <row r="598" spans="6:6" ht="15.75" customHeight="1">
      <c r="F598" s="1"/>
    </row>
    <row r="599" spans="6:6" ht="15.75" customHeight="1">
      <c r="F599" s="1"/>
    </row>
    <row r="600" spans="6:6" ht="15.75" customHeight="1">
      <c r="F600" s="1"/>
    </row>
    <row r="601" spans="6:6" ht="15.75" customHeight="1">
      <c r="F601" s="1"/>
    </row>
    <row r="602" spans="6:6" ht="15.75" customHeight="1">
      <c r="F602" s="1"/>
    </row>
    <row r="603" spans="6:6" ht="15.75" customHeight="1">
      <c r="F603" s="1"/>
    </row>
    <row r="604" spans="6:6" ht="15.75" customHeight="1">
      <c r="F604" s="1"/>
    </row>
    <row r="605" spans="6:6" ht="15.75" customHeight="1">
      <c r="F605" s="1"/>
    </row>
    <row r="606" spans="6:6" ht="15.75" customHeight="1">
      <c r="F606" s="1"/>
    </row>
    <row r="607" spans="6:6" ht="15.75" customHeight="1">
      <c r="F607" s="1"/>
    </row>
    <row r="608" spans="6:6" ht="15.75" customHeight="1">
      <c r="F608" s="1"/>
    </row>
    <row r="609" spans="6:6" ht="15.75" customHeight="1">
      <c r="F609" s="1"/>
    </row>
    <row r="610" spans="6:6" ht="15.75" customHeight="1">
      <c r="F610" s="1"/>
    </row>
    <row r="611" spans="6:6" ht="15.75" customHeight="1">
      <c r="F611" s="1"/>
    </row>
    <row r="612" spans="6:6" ht="15.75" customHeight="1">
      <c r="F612" s="1"/>
    </row>
    <row r="613" spans="6:6" ht="15.75" customHeight="1">
      <c r="F613" s="1"/>
    </row>
    <row r="614" spans="6:6" ht="15.75" customHeight="1">
      <c r="F614" s="1"/>
    </row>
    <row r="615" spans="6:6" ht="15.75" customHeight="1">
      <c r="F615" s="1"/>
    </row>
    <row r="616" spans="6:6" ht="15.75" customHeight="1">
      <c r="F616" s="1"/>
    </row>
    <row r="617" spans="6:6" ht="15.75" customHeight="1">
      <c r="F617" s="1"/>
    </row>
    <row r="618" spans="6:6" ht="15.75" customHeight="1">
      <c r="F618" s="1"/>
    </row>
    <row r="619" spans="6:6" ht="15.75" customHeight="1">
      <c r="F619" s="1"/>
    </row>
    <row r="620" spans="6:6" ht="15.75" customHeight="1">
      <c r="F620" s="1"/>
    </row>
    <row r="621" spans="6:6" ht="15.75" customHeight="1">
      <c r="F621" s="1"/>
    </row>
    <row r="622" spans="6:6" ht="15.75" customHeight="1">
      <c r="F622" s="1"/>
    </row>
    <row r="623" spans="6:6" ht="15.75" customHeight="1">
      <c r="F623" s="1"/>
    </row>
    <row r="624" spans="6:6" ht="15.75" customHeight="1">
      <c r="F624" s="1"/>
    </row>
    <row r="625" spans="6:6" ht="15.75" customHeight="1">
      <c r="F625" s="1"/>
    </row>
    <row r="626" spans="6:6" ht="15.75" customHeight="1">
      <c r="F626" s="1"/>
    </row>
    <row r="627" spans="6:6" ht="15.75" customHeight="1">
      <c r="F627" s="1"/>
    </row>
    <row r="628" spans="6:6" ht="15.75" customHeight="1">
      <c r="F628" s="1"/>
    </row>
    <row r="629" spans="6:6" ht="15.75" customHeight="1">
      <c r="F629" s="1"/>
    </row>
    <row r="630" spans="6:6" ht="15.75" customHeight="1">
      <c r="F630" s="1"/>
    </row>
    <row r="631" spans="6:6" ht="15.75" customHeight="1">
      <c r="F631" s="1"/>
    </row>
    <row r="632" spans="6:6" ht="15.75" customHeight="1">
      <c r="F632" s="1"/>
    </row>
    <row r="633" spans="6:6" ht="15.75" customHeight="1">
      <c r="F633" s="1"/>
    </row>
    <row r="634" spans="6:6" ht="15.75" customHeight="1">
      <c r="F634" s="1"/>
    </row>
    <row r="635" spans="6:6" ht="15.75" customHeight="1">
      <c r="F635" s="1"/>
    </row>
    <row r="636" spans="6:6" ht="15.75" customHeight="1">
      <c r="F636" s="1"/>
    </row>
    <row r="637" spans="6:6" ht="15.75" customHeight="1">
      <c r="F637" s="1"/>
    </row>
    <row r="638" spans="6:6" ht="15.75" customHeight="1">
      <c r="F638" s="1"/>
    </row>
    <row r="639" spans="6:6" ht="15.75" customHeight="1">
      <c r="F639" s="1"/>
    </row>
    <row r="640" spans="6:6" ht="15.75" customHeight="1">
      <c r="F640" s="1"/>
    </row>
    <row r="641" spans="6:6" ht="15.75" customHeight="1">
      <c r="F641" s="1"/>
    </row>
    <row r="642" spans="6:6" ht="15.75" customHeight="1">
      <c r="F642" s="1"/>
    </row>
    <row r="643" spans="6:6" ht="15.75" customHeight="1">
      <c r="F643" s="1"/>
    </row>
    <row r="644" spans="6:6" ht="15.75" customHeight="1">
      <c r="F644" s="1"/>
    </row>
    <row r="645" spans="6:6" ht="15.75" customHeight="1">
      <c r="F645" s="1"/>
    </row>
    <row r="646" spans="6:6" ht="15.75" customHeight="1">
      <c r="F646" s="1"/>
    </row>
    <row r="647" spans="6:6" ht="15.75" customHeight="1">
      <c r="F647" s="1"/>
    </row>
    <row r="648" spans="6:6" ht="15.75" customHeight="1">
      <c r="F648" s="1"/>
    </row>
    <row r="649" spans="6:6" ht="15.75" customHeight="1">
      <c r="F649" s="1"/>
    </row>
    <row r="650" spans="6:6" ht="15.75" customHeight="1">
      <c r="F650" s="1"/>
    </row>
    <row r="651" spans="6:6" ht="15.75" customHeight="1">
      <c r="F651" s="1"/>
    </row>
    <row r="652" spans="6:6" ht="15.75" customHeight="1">
      <c r="F652" s="1"/>
    </row>
    <row r="653" spans="6:6" ht="15.75" customHeight="1">
      <c r="F653" s="1"/>
    </row>
    <row r="654" spans="6:6" ht="15.75" customHeight="1">
      <c r="F654" s="1"/>
    </row>
    <row r="655" spans="6:6" ht="15.75" customHeight="1">
      <c r="F655" s="1"/>
    </row>
    <row r="656" spans="6:6" ht="15.75" customHeight="1">
      <c r="F656" s="1"/>
    </row>
    <row r="657" spans="6:6" ht="15.75" customHeight="1">
      <c r="F657" s="1"/>
    </row>
    <row r="658" spans="6:6" ht="15.75" customHeight="1">
      <c r="F658" s="1"/>
    </row>
    <row r="659" spans="6:6" ht="15.75" customHeight="1">
      <c r="F659" s="1"/>
    </row>
    <row r="660" spans="6:6" ht="15.75" customHeight="1">
      <c r="F660" s="1"/>
    </row>
    <row r="661" spans="6:6" ht="15.75" customHeight="1">
      <c r="F661" s="1"/>
    </row>
    <row r="662" spans="6:6" ht="15.75" customHeight="1">
      <c r="F662" s="1"/>
    </row>
    <row r="663" spans="6:6" ht="15.75" customHeight="1">
      <c r="F663" s="1"/>
    </row>
    <row r="664" spans="6:6" ht="15.75" customHeight="1">
      <c r="F664" s="1"/>
    </row>
    <row r="665" spans="6:6" ht="15.75" customHeight="1">
      <c r="F665" s="1"/>
    </row>
    <row r="666" spans="6:6" ht="15.75" customHeight="1">
      <c r="F666" s="1"/>
    </row>
    <row r="667" spans="6:6" ht="15.75" customHeight="1">
      <c r="F667" s="1"/>
    </row>
    <row r="668" spans="6:6" ht="15.75" customHeight="1">
      <c r="F668" s="1"/>
    </row>
    <row r="669" spans="6:6" ht="15.75" customHeight="1">
      <c r="F669" s="1"/>
    </row>
    <row r="670" spans="6:6" ht="15.75" customHeight="1">
      <c r="F670" s="1"/>
    </row>
    <row r="671" spans="6:6" ht="15.75" customHeight="1">
      <c r="F671" s="1"/>
    </row>
    <row r="672" spans="6:6" ht="15.75" customHeight="1">
      <c r="F672" s="1"/>
    </row>
    <row r="673" spans="6:6" ht="15.75" customHeight="1">
      <c r="F673" s="1"/>
    </row>
    <row r="674" spans="6:6" ht="15.75" customHeight="1">
      <c r="F674" s="1"/>
    </row>
    <row r="675" spans="6:6" ht="15.75" customHeight="1">
      <c r="F675" s="1"/>
    </row>
    <row r="676" spans="6:6" ht="15.75" customHeight="1">
      <c r="F676" s="1"/>
    </row>
    <row r="677" spans="6:6" ht="15.75" customHeight="1">
      <c r="F677" s="1"/>
    </row>
    <row r="678" spans="6:6" ht="15.75" customHeight="1">
      <c r="F678" s="1"/>
    </row>
    <row r="679" spans="6:6" ht="15.75" customHeight="1">
      <c r="F679" s="1"/>
    </row>
    <row r="680" spans="6:6" ht="15.75" customHeight="1">
      <c r="F680" s="1"/>
    </row>
    <row r="681" spans="6:6" ht="15.75" customHeight="1">
      <c r="F681" s="1"/>
    </row>
    <row r="682" spans="6:6" ht="15.75" customHeight="1">
      <c r="F682" s="1"/>
    </row>
    <row r="683" spans="6:6" ht="15.75" customHeight="1">
      <c r="F683" s="1"/>
    </row>
    <row r="684" spans="6:6" ht="15.75" customHeight="1">
      <c r="F684" s="1"/>
    </row>
    <row r="685" spans="6:6" ht="15.75" customHeight="1">
      <c r="F685" s="1"/>
    </row>
    <row r="686" spans="6:6" ht="15.75" customHeight="1">
      <c r="F686" s="1"/>
    </row>
    <row r="687" spans="6:6" ht="15.75" customHeight="1">
      <c r="F687" s="1"/>
    </row>
    <row r="688" spans="6:6" ht="15.75" customHeight="1">
      <c r="F688" s="1"/>
    </row>
    <row r="689" spans="6:6" ht="15.75" customHeight="1">
      <c r="F689" s="1"/>
    </row>
    <row r="690" spans="6:6" ht="15.75" customHeight="1">
      <c r="F690" s="1"/>
    </row>
    <row r="691" spans="6:6" ht="15.75" customHeight="1">
      <c r="F691" s="1"/>
    </row>
    <row r="692" spans="6:6" ht="15.75" customHeight="1">
      <c r="F692" s="1"/>
    </row>
    <row r="693" spans="6:6" ht="15.75" customHeight="1">
      <c r="F693" s="1"/>
    </row>
    <row r="694" spans="6:6" ht="15.75" customHeight="1">
      <c r="F694" s="1"/>
    </row>
    <row r="695" spans="6:6" ht="15.75" customHeight="1">
      <c r="F695" s="1"/>
    </row>
    <row r="696" spans="6:6" ht="15.75" customHeight="1">
      <c r="F696" s="1"/>
    </row>
    <row r="697" spans="6:6" ht="15.75" customHeight="1">
      <c r="F697" s="1"/>
    </row>
    <row r="698" spans="6:6" ht="15.75" customHeight="1">
      <c r="F698" s="1"/>
    </row>
    <row r="699" spans="6:6" ht="15.75" customHeight="1">
      <c r="F699" s="1"/>
    </row>
    <row r="700" spans="6:6" ht="15.75" customHeight="1">
      <c r="F700" s="1"/>
    </row>
    <row r="701" spans="6:6" ht="15.75" customHeight="1">
      <c r="F701" s="1"/>
    </row>
    <row r="702" spans="6:6" ht="15.75" customHeight="1">
      <c r="F702" s="1"/>
    </row>
    <row r="703" spans="6:6" ht="15.75" customHeight="1">
      <c r="F703" s="1"/>
    </row>
    <row r="704" spans="6:6" ht="15.75" customHeight="1">
      <c r="F704" s="1"/>
    </row>
    <row r="705" spans="6:6" ht="15.75" customHeight="1">
      <c r="F705" s="1"/>
    </row>
    <row r="706" spans="6:6" ht="15.75" customHeight="1">
      <c r="F706" s="1"/>
    </row>
    <row r="707" spans="6:6" ht="15.75" customHeight="1">
      <c r="F707" s="1"/>
    </row>
    <row r="708" spans="6:6" ht="15.75" customHeight="1">
      <c r="F708" s="1"/>
    </row>
    <row r="709" spans="6:6" ht="15.75" customHeight="1">
      <c r="F709" s="1"/>
    </row>
    <row r="710" spans="6:6" ht="15.75" customHeight="1">
      <c r="F710" s="1"/>
    </row>
    <row r="711" spans="6:6" ht="15.75" customHeight="1">
      <c r="F711" s="1"/>
    </row>
    <row r="712" spans="6:6" ht="15.75" customHeight="1">
      <c r="F712" s="1"/>
    </row>
    <row r="713" spans="6:6" ht="15.75" customHeight="1">
      <c r="F713" s="1"/>
    </row>
    <row r="714" spans="6:6" ht="15.75" customHeight="1">
      <c r="F714" s="1"/>
    </row>
    <row r="715" spans="6:6" ht="15.75" customHeight="1">
      <c r="F715" s="1"/>
    </row>
    <row r="716" spans="6:6" ht="15.75" customHeight="1">
      <c r="F716" s="1"/>
    </row>
    <row r="717" spans="6:6" ht="15.75" customHeight="1">
      <c r="F717" s="1"/>
    </row>
    <row r="718" spans="6:6" ht="15.75" customHeight="1">
      <c r="F718" s="1"/>
    </row>
    <row r="719" spans="6:6" ht="15.75" customHeight="1">
      <c r="F719" s="1"/>
    </row>
    <row r="720" spans="6:6" ht="15.75" customHeight="1">
      <c r="F720" s="1"/>
    </row>
    <row r="721" spans="6:6" ht="15.75" customHeight="1">
      <c r="F721" s="1"/>
    </row>
    <row r="722" spans="6:6" ht="15.75" customHeight="1">
      <c r="F722" s="1"/>
    </row>
    <row r="723" spans="6:6" ht="15.75" customHeight="1">
      <c r="F723" s="1"/>
    </row>
    <row r="724" spans="6:6" ht="15.75" customHeight="1">
      <c r="F724" s="1"/>
    </row>
    <row r="725" spans="6:6" ht="15.75" customHeight="1">
      <c r="F725" s="1"/>
    </row>
    <row r="726" spans="6:6" ht="15.75" customHeight="1">
      <c r="F726" s="1"/>
    </row>
    <row r="727" spans="6:6" ht="15.75" customHeight="1">
      <c r="F727" s="1"/>
    </row>
    <row r="728" spans="6:6" ht="15.75" customHeight="1">
      <c r="F728" s="1"/>
    </row>
    <row r="729" spans="6:6" ht="15.75" customHeight="1">
      <c r="F729" s="1"/>
    </row>
    <row r="730" spans="6:6" ht="15.75" customHeight="1">
      <c r="F730" s="1"/>
    </row>
    <row r="731" spans="6:6" ht="15.75" customHeight="1">
      <c r="F731" s="1"/>
    </row>
    <row r="732" spans="6:6" ht="15.75" customHeight="1">
      <c r="F732" s="1"/>
    </row>
    <row r="733" spans="6:6" ht="15.75" customHeight="1">
      <c r="F733" s="1"/>
    </row>
    <row r="734" spans="6:6" ht="15.75" customHeight="1">
      <c r="F734" s="1"/>
    </row>
    <row r="735" spans="6:6" ht="15.75" customHeight="1">
      <c r="F735" s="1"/>
    </row>
    <row r="736" spans="6:6" ht="15.75" customHeight="1">
      <c r="F736" s="1"/>
    </row>
    <row r="737" spans="6:6" ht="15.75" customHeight="1">
      <c r="F737" s="1"/>
    </row>
    <row r="738" spans="6:6" ht="15.75" customHeight="1">
      <c r="F738" s="1"/>
    </row>
    <row r="739" spans="6:6" ht="15.75" customHeight="1">
      <c r="F739" s="1"/>
    </row>
    <row r="740" spans="6:6" ht="15.75" customHeight="1">
      <c r="F740" s="1"/>
    </row>
    <row r="741" spans="6:6" ht="15.75" customHeight="1">
      <c r="F741" s="1"/>
    </row>
    <row r="742" spans="6:6" ht="15.75" customHeight="1">
      <c r="F742" s="1"/>
    </row>
    <row r="743" spans="6:6" ht="15.75" customHeight="1">
      <c r="F743" s="1"/>
    </row>
    <row r="744" spans="6:6" ht="15.75" customHeight="1">
      <c r="F744" s="1"/>
    </row>
    <row r="745" spans="6:6" ht="15.75" customHeight="1">
      <c r="F745" s="1"/>
    </row>
    <row r="746" spans="6:6" ht="15.75" customHeight="1">
      <c r="F746" s="1"/>
    </row>
    <row r="747" spans="6:6" ht="15.75" customHeight="1">
      <c r="F747" s="1"/>
    </row>
    <row r="748" spans="6:6" ht="15.75" customHeight="1">
      <c r="F748" s="1"/>
    </row>
    <row r="749" spans="6:6" ht="15.75" customHeight="1">
      <c r="F749" s="1"/>
    </row>
    <row r="750" spans="6:6" ht="15.75" customHeight="1">
      <c r="F750" s="1"/>
    </row>
    <row r="751" spans="6:6" ht="15.75" customHeight="1">
      <c r="F751" s="1"/>
    </row>
    <row r="752" spans="6:6" ht="15.75" customHeight="1">
      <c r="F752" s="1"/>
    </row>
    <row r="753" spans="6:6" ht="15.75" customHeight="1">
      <c r="F753" s="1"/>
    </row>
    <row r="754" spans="6:6" ht="15.75" customHeight="1">
      <c r="F754" s="1"/>
    </row>
    <row r="755" spans="6:6" ht="15.75" customHeight="1">
      <c r="F755" s="1"/>
    </row>
    <row r="756" spans="6:6" ht="15.75" customHeight="1">
      <c r="F756" s="1"/>
    </row>
    <row r="757" spans="6:6" ht="15.75" customHeight="1">
      <c r="F757" s="1"/>
    </row>
    <row r="758" spans="6:6" ht="15.75" customHeight="1">
      <c r="F758" s="1"/>
    </row>
    <row r="759" spans="6:6" ht="15.75" customHeight="1">
      <c r="F759" s="1"/>
    </row>
    <row r="760" spans="6:6" ht="15.75" customHeight="1">
      <c r="F760" s="1"/>
    </row>
    <row r="761" spans="6:6" ht="15.75" customHeight="1">
      <c r="F761" s="1"/>
    </row>
    <row r="762" spans="6:6" ht="15.75" customHeight="1">
      <c r="F762" s="1"/>
    </row>
    <row r="763" spans="6:6" ht="15.75" customHeight="1">
      <c r="F763" s="1"/>
    </row>
    <row r="764" spans="6:6" ht="15.75" customHeight="1">
      <c r="F764" s="1"/>
    </row>
    <row r="765" spans="6:6" ht="15.75" customHeight="1">
      <c r="F765" s="1"/>
    </row>
    <row r="766" spans="6:6" ht="15.75" customHeight="1">
      <c r="F766" s="1"/>
    </row>
    <row r="767" spans="6:6" ht="15.75" customHeight="1">
      <c r="F767" s="1"/>
    </row>
    <row r="768" spans="6:6" ht="15.75" customHeight="1">
      <c r="F768" s="1"/>
    </row>
    <row r="769" spans="6:6" ht="15.75" customHeight="1">
      <c r="F769" s="1"/>
    </row>
    <row r="770" spans="6:6" ht="15.75" customHeight="1">
      <c r="F770" s="1"/>
    </row>
    <row r="771" spans="6:6" ht="15.75" customHeight="1">
      <c r="F771" s="1"/>
    </row>
    <row r="772" spans="6:6" ht="15.75" customHeight="1">
      <c r="F772" s="1"/>
    </row>
    <row r="773" spans="6:6" ht="15.75" customHeight="1">
      <c r="F773" s="1"/>
    </row>
    <row r="774" spans="6:6" ht="15.75" customHeight="1">
      <c r="F774" s="1"/>
    </row>
    <row r="775" spans="6:6" ht="15.75" customHeight="1">
      <c r="F775" s="1"/>
    </row>
    <row r="776" spans="6:6" ht="15.75" customHeight="1">
      <c r="F776" s="1"/>
    </row>
    <row r="777" spans="6:6" ht="15.75" customHeight="1">
      <c r="F777" s="1"/>
    </row>
    <row r="778" spans="6:6" ht="15.75" customHeight="1">
      <c r="F778" s="1"/>
    </row>
    <row r="779" spans="6:6" ht="15.75" customHeight="1">
      <c r="F779" s="1"/>
    </row>
    <row r="780" spans="6:6" ht="15.75" customHeight="1">
      <c r="F780" s="1"/>
    </row>
    <row r="781" spans="6:6" ht="15.75" customHeight="1">
      <c r="F781" s="1"/>
    </row>
    <row r="782" spans="6:6" ht="15.75" customHeight="1">
      <c r="F782" s="1"/>
    </row>
    <row r="783" spans="6:6" ht="15.75" customHeight="1">
      <c r="F783" s="1"/>
    </row>
    <row r="784" spans="6:6" ht="15.75" customHeight="1">
      <c r="F784" s="1"/>
    </row>
    <row r="785" spans="6:6" ht="15.75" customHeight="1">
      <c r="F785" s="1"/>
    </row>
    <row r="786" spans="6:6" ht="15.75" customHeight="1">
      <c r="F786" s="1"/>
    </row>
    <row r="787" spans="6:6" ht="15.75" customHeight="1">
      <c r="F787" s="1"/>
    </row>
    <row r="788" spans="6:6" ht="15.75" customHeight="1">
      <c r="F788" s="1"/>
    </row>
    <row r="789" spans="6:6" ht="15.75" customHeight="1">
      <c r="F789" s="1"/>
    </row>
    <row r="790" spans="6:6" ht="15.75" customHeight="1">
      <c r="F790" s="1"/>
    </row>
    <row r="791" spans="6:6" ht="15.75" customHeight="1">
      <c r="F791" s="1"/>
    </row>
    <row r="792" spans="6:6" ht="15.75" customHeight="1">
      <c r="F792" s="1"/>
    </row>
    <row r="793" spans="6:6" ht="15.75" customHeight="1">
      <c r="F793" s="1"/>
    </row>
    <row r="794" spans="6:6" ht="15.75" customHeight="1">
      <c r="F794" s="1"/>
    </row>
    <row r="795" spans="6:6" ht="15.75" customHeight="1">
      <c r="F795" s="1"/>
    </row>
    <row r="796" spans="6:6" ht="15.75" customHeight="1">
      <c r="F796" s="1"/>
    </row>
    <row r="797" spans="6:6" ht="15.75" customHeight="1">
      <c r="F797" s="1"/>
    </row>
    <row r="798" spans="6:6" ht="15.75" customHeight="1">
      <c r="F798" s="1"/>
    </row>
    <row r="799" spans="6:6" ht="15.75" customHeight="1">
      <c r="F799" s="1"/>
    </row>
    <row r="800" spans="6:6" ht="15.75" customHeight="1">
      <c r="F800" s="1"/>
    </row>
    <row r="801" spans="6:6" ht="15.75" customHeight="1">
      <c r="F801" s="1"/>
    </row>
    <row r="802" spans="6:6" ht="15.75" customHeight="1">
      <c r="F802" s="1"/>
    </row>
    <row r="803" spans="6:6" ht="15.75" customHeight="1">
      <c r="F803" s="1"/>
    </row>
    <row r="804" spans="6:6" ht="15.75" customHeight="1">
      <c r="F804" s="1"/>
    </row>
    <row r="805" spans="6:6" ht="15.75" customHeight="1">
      <c r="F805" s="1"/>
    </row>
    <row r="806" spans="6:6" ht="15.75" customHeight="1">
      <c r="F806" s="1"/>
    </row>
    <row r="807" spans="6:6" ht="15.75" customHeight="1">
      <c r="F807" s="1"/>
    </row>
    <row r="808" spans="6:6" ht="15.75" customHeight="1">
      <c r="F808" s="1"/>
    </row>
    <row r="809" spans="6:6" ht="15.75" customHeight="1">
      <c r="F809" s="1"/>
    </row>
    <row r="810" spans="6:6" ht="15.75" customHeight="1">
      <c r="F810" s="1"/>
    </row>
    <row r="811" spans="6:6" ht="15.75" customHeight="1">
      <c r="F811" s="1"/>
    </row>
    <row r="812" spans="6:6" ht="15.75" customHeight="1">
      <c r="F812" s="1"/>
    </row>
    <row r="813" spans="6:6" ht="15.75" customHeight="1">
      <c r="F813" s="1"/>
    </row>
    <row r="814" spans="6:6" ht="15.75" customHeight="1">
      <c r="F814" s="1"/>
    </row>
    <row r="815" spans="6:6" ht="15.75" customHeight="1">
      <c r="F815" s="1"/>
    </row>
    <row r="816" spans="6:6" ht="15.75" customHeight="1">
      <c r="F816" s="1"/>
    </row>
    <row r="817" spans="6:6" ht="15.75" customHeight="1">
      <c r="F817" s="1"/>
    </row>
    <row r="818" spans="6:6" ht="15.75" customHeight="1">
      <c r="F818" s="1"/>
    </row>
    <row r="819" spans="6:6" ht="15.75" customHeight="1">
      <c r="F819" s="1"/>
    </row>
    <row r="820" spans="6:6" ht="15.75" customHeight="1">
      <c r="F820" s="1"/>
    </row>
    <row r="821" spans="6:6" ht="15.75" customHeight="1">
      <c r="F821" s="1"/>
    </row>
    <row r="822" spans="6:6" ht="15.75" customHeight="1">
      <c r="F822" s="1"/>
    </row>
    <row r="823" spans="6:6" ht="15.75" customHeight="1">
      <c r="F823" s="1"/>
    </row>
    <row r="824" spans="6:6" ht="15.75" customHeight="1">
      <c r="F824" s="1"/>
    </row>
    <row r="825" spans="6:6" ht="15.75" customHeight="1">
      <c r="F825" s="1"/>
    </row>
    <row r="826" spans="6:6" ht="15.75" customHeight="1">
      <c r="F826" s="1"/>
    </row>
    <row r="827" spans="6:6" ht="15.75" customHeight="1">
      <c r="F827" s="1"/>
    </row>
    <row r="828" spans="6:6" ht="15.75" customHeight="1">
      <c r="F828" s="1"/>
    </row>
    <row r="829" spans="6:6" ht="15.75" customHeight="1">
      <c r="F829" s="1"/>
    </row>
    <row r="830" spans="6:6" ht="15.75" customHeight="1">
      <c r="F830" s="1"/>
    </row>
    <row r="831" spans="6:6" ht="15.75" customHeight="1">
      <c r="F831" s="1"/>
    </row>
    <row r="832" spans="6:6" ht="15.75" customHeight="1">
      <c r="F832" s="1"/>
    </row>
    <row r="833" spans="6:6" ht="15.75" customHeight="1">
      <c r="F833" s="1"/>
    </row>
    <row r="834" spans="6:6" ht="15.75" customHeight="1">
      <c r="F834" s="1"/>
    </row>
    <row r="835" spans="6:6" ht="15.75" customHeight="1">
      <c r="F835" s="1"/>
    </row>
    <row r="836" spans="6:6" ht="15.75" customHeight="1">
      <c r="F836" s="1"/>
    </row>
    <row r="837" spans="6:6" ht="15.75" customHeight="1">
      <c r="F837" s="1"/>
    </row>
    <row r="838" spans="6:6" ht="15.75" customHeight="1">
      <c r="F838" s="1"/>
    </row>
    <row r="839" spans="6:6" ht="15.75" customHeight="1">
      <c r="F839" s="1"/>
    </row>
    <row r="840" spans="6:6" ht="15.75" customHeight="1">
      <c r="F840" s="1"/>
    </row>
    <row r="841" spans="6:6" ht="15.75" customHeight="1">
      <c r="F841" s="1"/>
    </row>
    <row r="842" spans="6:6" ht="15.75" customHeight="1">
      <c r="F842" s="1"/>
    </row>
    <row r="843" spans="6:6" ht="15.75" customHeight="1">
      <c r="F843" s="1"/>
    </row>
    <row r="844" spans="6:6" ht="15.75" customHeight="1">
      <c r="F844" s="1"/>
    </row>
    <row r="845" spans="6:6" ht="15.75" customHeight="1">
      <c r="F845" s="1"/>
    </row>
    <row r="846" spans="6:6" ht="15.75" customHeight="1">
      <c r="F846" s="1"/>
    </row>
    <row r="847" spans="6:6" ht="15.75" customHeight="1">
      <c r="F847" s="1"/>
    </row>
    <row r="848" spans="6:6" ht="15.75" customHeight="1">
      <c r="F848" s="1"/>
    </row>
    <row r="849" spans="6:6" ht="15.75" customHeight="1">
      <c r="F849" s="1"/>
    </row>
    <row r="850" spans="6:6" ht="15.75" customHeight="1">
      <c r="F850" s="1"/>
    </row>
    <row r="851" spans="6:6" ht="15.75" customHeight="1">
      <c r="F851" s="1"/>
    </row>
    <row r="852" spans="6:6" ht="15.75" customHeight="1">
      <c r="F852" s="1"/>
    </row>
    <row r="853" spans="6:6" ht="15.75" customHeight="1">
      <c r="F853" s="1"/>
    </row>
    <row r="854" spans="6:6" ht="15.75" customHeight="1">
      <c r="F854" s="1"/>
    </row>
    <row r="855" spans="6:6" ht="15.75" customHeight="1">
      <c r="F855" s="1"/>
    </row>
    <row r="856" spans="6:6" ht="15.75" customHeight="1">
      <c r="F856" s="1"/>
    </row>
    <row r="857" spans="6:6" ht="15.75" customHeight="1">
      <c r="F857" s="1"/>
    </row>
    <row r="858" spans="6:6" ht="15.75" customHeight="1">
      <c r="F858" s="1"/>
    </row>
    <row r="859" spans="6:6" ht="15.75" customHeight="1">
      <c r="F859" s="1"/>
    </row>
    <row r="860" spans="6:6" ht="15.75" customHeight="1">
      <c r="F860" s="1"/>
    </row>
    <row r="861" spans="6:6" ht="15.75" customHeight="1">
      <c r="F861" s="1"/>
    </row>
    <row r="862" spans="6:6" ht="15.75" customHeight="1">
      <c r="F862" s="1"/>
    </row>
    <row r="863" spans="6:6" ht="15.75" customHeight="1">
      <c r="F863" s="1"/>
    </row>
    <row r="864" spans="6:6" ht="15.75" customHeight="1">
      <c r="F864" s="1"/>
    </row>
    <row r="865" spans="6:6" ht="15.75" customHeight="1">
      <c r="F865" s="1"/>
    </row>
    <row r="866" spans="6:6" ht="15.75" customHeight="1">
      <c r="F866" s="1"/>
    </row>
    <row r="867" spans="6:6" ht="15.75" customHeight="1">
      <c r="F867" s="1"/>
    </row>
    <row r="868" spans="6:6" ht="15.75" customHeight="1">
      <c r="F868" s="1"/>
    </row>
    <row r="869" spans="6:6" ht="15.75" customHeight="1">
      <c r="F869" s="1"/>
    </row>
    <row r="870" spans="6:6" ht="15.75" customHeight="1">
      <c r="F870" s="1"/>
    </row>
    <row r="871" spans="6:6" ht="15.75" customHeight="1">
      <c r="F871" s="1"/>
    </row>
    <row r="872" spans="6:6" ht="15.75" customHeight="1">
      <c r="F872" s="1"/>
    </row>
    <row r="873" spans="6:6" ht="15.75" customHeight="1">
      <c r="F873" s="1"/>
    </row>
    <row r="874" spans="6:6" ht="15.75" customHeight="1">
      <c r="F874" s="1"/>
    </row>
    <row r="875" spans="6:6" ht="15.75" customHeight="1">
      <c r="F875" s="1"/>
    </row>
    <row r="876" spans="6:6" ht="15.75" customHeight="1">
      <c r="F876" s="1"/>
    </row>
    <row r="877" spans="6:6" ht="15.75" customHeight="1">
      <c r="F877" s="1"/>
    </row>
    <row r="878" spans="6:6" ht="15.75" customHeight="1">
      <c r="F878" s="1"/>
    </row>
    <row r="879" spans="6:6" ht="15.75" customHeight="1">
      <c r="F879" s="1"/>
    </row>
    <row r="880" spans="6:6" ht="15.75" customHeight="1">
      <c r="F880" s="1"/>
    </row>
    <row r="881" spans="6:6" ht="15.75" customHeight="1">
      <c r="F881" s="1"/>
    </row>
    <row r="882" spans="6:6" ht="15.75" customHeight="1">
      <c r="F882" s="1"/>
    </row>
    <row r="883" spans="6:6" ht="15.75" customHeight="1">
      <c r="F883" s="1"/>
    </row>
    <row r="884" spans="6:6" ht="15.75" customHeight="1">
      <c r="F884" s="1"/>
    </row>
    <row r="885" spans="6:6" ht="15.75" customHeight="1">
      <c r="F885" s="1"/>
    </row>
    <row r="886" spans="6:6" ht="15.75" customHeight="1">
      <c r="F886" s="1"/>
    </row>
    <row r="887" spans="6:6" ht="15.75" customHeight="1">
      <c r="F887" s="1"/>
    </row>
    <row r="888" spans="6:6" ht="15.75" customHeight="1">
      <c r="F888" s="1"/>
    </row>
    <row r="889" spans="6:6" ht="15.75" customHeight="1">
      <c r="F889" s="1"/>
    </row>
    <row r="890" spans="6:6" ht="15.75" customHeight="1">
      <c r="F890" s="1"/>
    </row>
    <row r="891" spans="6:6" ht="15.75" customHeight="1">
      <c r="F891" s="1"/>
    </row>
    <row r="892" spans="6:6" ht="15.75" customHeight="1">
      <c r="F892" s="1"/>
    </row>
    <row r="893" spans="6:6" ht="15.75" customHeight="1">
      <c r="F893" s="1"/>
    </row>
    <row r="894" spans="6:6" ht="15.75" customHeight="1">
      <c r="F894" s="1"/>
    </row>
    <row r="895" spans="6:6" ht="15.75" customHeight="1">
      <c r="F895" s="1"/>
    </row>
    <row r="896" spans="6:6" ht="15.75" customHeight="1">
      <c r="F896" s="1"/>
    </row>
    <row r="897" spans="6:6" ht="15.75" customHeight="1">
      <c r="F897" s="1"/>
    </row>
    <row r="898" spans="6:6" ht="15.75" customHeight="1">
      <c r="F898" s="1"/>
    </row>
    <row r="899" spans="6:6" ht="15.75" customHeight="1">
      <c r="F899" s="1"/>
    </row>
    <row r="900" spans="6:6" ht="15.75" customHeight="1">
      <c r="F900" s="1"/>
    </row>
    <row r="901" spans="6:6" ht="15.75" customHeight="1">
      <c r="F901" s="1"/>
    </row>
    <row r="902" spans="6:6" ht="15.75" customHeight="1">
      <c r="F902" s="1"/>
    </row>
    <row r="903" spans="6:6" ht="15.75" customHeight="1">
      <c r="F903" s="1"/>
    </row>
    <row r="904" spans="6:6" ht="15.75" customHeight="1">
      <c r="F904" s="1"/>
    </row>
    <row r="905" spans="6:6" ht="15.75" customHeight="1">
      <c r="F905" s="1"/>
    </row>
    <row r="906" spans="6:6" ht="15.75" customHeight="1">
      <c r="F906" s="1"/>
    </row>
    <row r="907" spans="6:6" ht="15.75" customHeight="1">
      <c r="F907" s="1"/>
    </row>
    <row r="908" spans="6:6" ht="15.75" customHeight="1">
      <c r="F908" s="1"/>
    </row>
    <row r="909" spans="6:6" ht="15.75" customHeight="1">
      <c r="F909" s="1"/>
    </row>
    <row r="910" spans="6:6" ht="15.75" customHeight="1">
      <c r="F910" s="1"/>
    </row>
    <row r="911" spans="6:6" ht="15.75" customHeight="1">
      <c r="F911" s="1"/>
    </row>
    <row r="912" spans="6:6" ht="15.75" customHeight="1">
      <c r="F912" s="1"/>
    </row>
    <row r="913" spans="6:6" ht="15.75" customHeight="1">
      <c r="F913" s="1"/>
    </row>
    <row r="914" spans="6:6" ht="15.75" customHeight="1">
      <c r="F914" s="1"/>
    </row>
    <row r="915" spans="6:6" ht="15.75" customHeight="1">
      <c r="F915" s="1"/>
    </row>
    <row r="916" spans="6:6" ht="15.75" customHeight="1">
      <c r="F916" s="1"/>
    </row>
    <row r="917" spans="6:6" ht="15.75" customHeight="1">
      <c r="F917" s="1"/>
    </row>
    <row r="918" spans="6:6" ht="15.75" customHeight="1">
      <c r="F918" s="1"/>
    </row>
    <row r="919" spans="6:6" ht="15.75" customHeight="1">
      <c r="F919" s="1"/>
    </row>
    <row r="920" spans="6:6" ht="15.75" customHeight="1">
      <c r="F920" s="1"/>
    </row>
    <row r="921" spans="6:6" ht="15.75" customHeight="1">
      <c r="F921" s="1"/>
    </row>
    <row r="922" spans="6:6" ht="15.75" customHeight="1">
      <c r="F922" s="1"/>
    </row>
    <row r="923" spans="6:6" ht="15.75" customHeight="1">
      <c r="F923" s="1"/>
    </row>
    <row r="924" spans="6:6" ht="15.75" customHeight="1">
      <c r="F924" s="1"/>
    </row>
    <row r="925" spans="6:6" ht="15.75" customHeight="1">
      <c r="F925" s="1"/>
    </row>
    <row r="926" spans="6:6" ht="15.75" customHeight="1">
      <c r="F926" s="1"/>
    </row>
    <row r="927" spans="6:6" ht="15.75" customHeight="1">
      <c r="F927" s="1"/>
    </row>
    <row r="928" spans="6:6" ht="15.75" customHeight="1">
      <c r="F928" s="1"/>
    </row>
    <row r="929" spans="6:6" ht="15.75" customHeight="1">
      <c r="F929" s="1"/>
    </row>
    <row r="930" spans="6:6" ht="15.75" customHeight="1">
      <c r="F930" s="1"/>
    </row>
    <row r="931" spans="6:6" ht="15.75" customHeight="1">
      <c r="F931" s="1"/>
    </row>
    <row r="932" spans="6:6" ht="15.75" customHeight="1">
      <c r="F932" s="1"/>
    </row>
    <row r="933" spans="6:6" ht="15.75" customHeight="1">
      <c r="F933" s="1"/>
    </row>
    <row r="934" spans="6:6" ht="15.75" customHeight="1">
      <c r="F934" s="1"/>
    </row>
    <row r="935" spans="6:6" ht="15.75" customHeight="1">
      <c r="F935" s="1"/>
    </row>
    <row r="936" spans="6:6" ht="15.75" customHeight="1">
      <c r="F936" s="1"/>
    </row>
    <row r="937" spans="6:6" ht="15.75" customHeight="1">
      <c r="F937" s="1"/>
    </row>
    <row r="938" spans="6:6" ht="15.75" customHeight="1">
      <c r="F938" s="1"/>
    </row>
    <row r="939" spans="6:6" ht="15.75" customHeight="1">
      <c r="F939" s="1"/>
    </row>
    <row r="940" spans="6:6" ht="15.75" customHeight="1">
      <c r="F940" s="1"/>
    </row>
    <row r="941" spans="6:6" ht="15.75" customHeight="1">
      <c r="F941" s="1"/>
    </row>
    <row r="942" spans="6:6" ht="15.75" customHeight="1">
      <c r="F942" s="1"/>
    </row>
    <row r="943" spans="6:6" ht="15.75" customHeight="1">
      <c r="F943" s="1"/>
    </row>
    <row r="944" spans="6:6" ht="15.75" customHeight="1">
      <c r="F944" s="1"/>
    </row>
    <row r="945" spans="6:6" ht="15.75" customHeight="1">
      <c r="F945" s="1"/>
    </row>
    <row r="946" spans="6:6" ht="15.75" customHeight="1">
      <c r="F946" s="1"/>
    </row>
    <row r="947" spans="6:6" ht="15.75" customHeight="1">
      <c r="F947" s="1"/>
    </row>
    <row r="948" spans="6:6" ht="15.75" customHeight="1">
      <c r="F948" s="1"/>
    </row>
    <row r="949" spans="6:6" ht="15.75" customHeight="1">
      <c r="F949" s="1"/>
    </row>
    <row r="950" spans="6:6" ht="15.75" customHeight="1">
      <c r="F950" s="1"/>
    </row>
    <row r="951" spans="6:6" ht="15.75" customHeight="1">
      <c r="F951" s="1"/>
    </row>
    <row r="952" spans="6:6" ht="15.75" customHeight="1">
      <c r="F952" s="1"/>
    </row>
    <row r="953" spans="6:6" ht="15.75" customHeight="1">
      <c r="F953" s="1"/>
    </row>
    <row r="954" spans="6:6" ht="15.75" customHeight="1">
      <c r="F954" s="1"/>
    </row>
    <row r="955" spans="6:6" ht="15.75" customHeight="1">
      <c r="F955" s="1"/>
    </row>
    <row r="956" spans="6:6" ht="15.75" customHeight="1">
      <c r="F956" s="1"/>
    </row>
    <row r="957" spans="6:6" ht="15.75" customHeight="1">
      <c r="F957" s="1"/>
    </row>
    <row r="958" spans="6:6" ht="15.75" customHeight="1">
      <c r="F958" s="1"/>
    </row>
    <row r="959" spans="6:6" ht="15.75" customHeight="1">
      <c r="F959" s="1"/>
    </row>
    <row r="960" spans="6:6" ht="15.75" customHeight="1">
      <c r="F960" s="1"/>
    </row>
    <row r="961" spans="6:6" ht="15.75" customHeight="1">
      <c r="F961" s="1"/>
    </row>
    <row r="962" spans="6:6" ht="15.75" customHeight="1">
      <c r="F962" s="1"/>
    </row>
    <row r="963" spans="6:6" ht="15.75" customHeight="1">
      <c r="F963" s="1"/>
    </row>
    <row r="964" spans="6:6" ht="15.75" customHeight="1">
      <c r="F964" s="1"/>
    </row>
    <row r="965" spans="6:6" ht="15.75" customHeight="1">
      <c r="F965" s="1"/>
    </row>
    <row r="966" spans="6:6" ht="15.75" customHeight="1">
      <c r="F966" s="1"/>
    </row>
    <row r="967" spans="6:6" ht="15.75" customHeight="1">
      <c r="F967" s="1"/>
    </row>
    <row r="968" spans="6:6" ht="15.75" customHeight="1">
      <c r="F968" s="1"/>
    </row>
    <row r="969" spans="6:6" ht="15.75" customHeight="1">
      <c r="F969" s="1"/>
    </row>
    <row r="970" spans="6:6" ht="15.75" customHeight="1">
      <c r="F970" s="1"/>
    </row>
    <row r="971" spans="6:6" ht="15.75" customHeight="1">
      <c r="F971" s="1"/>
    </row>
    <row r="972" spans="6:6" ht="15.75" customHeight="1">
      <c r="F972" s="1"/>
    </row>
    <row r="973" spans="6:6" ht="15.75" customHeight="1">
      <c r="F973" s="1"/>
    </row>
    <row r="974" spans="6:6" ht="15.75" customHeight="1">
      <c r="F974" s="1"/>
    </row>
    <row r="975" spans="6:6" ht="15.75" customHeight="1">
      <c r="F975" s="1"/>
    </row>
    <row r="976" spans="6:6" ht="15.75" customHeight="1">
      <c r="F976" s="1"/>
    </row>
    <row r="977" spans="6:6" ht="15.75" customHeight="1">
      <c r="F977" s="1"/>
    </row>
    <row r="978" spans="6:6" ht="15.75" customHeight="1">
      <c r="F978" s="1"/>
    </row>
    <row r="979" spans="6:6" ht="15.75" customHeight="1">
      <c r="F979" s="1"/>
    </row>
    <row r="980" spans="6:6" ht="15.75" customHeight="1">
      <c r="F980" s="1"/>
    </row>
    <row r="981" spans="6:6" ht="15.75" customHeight="1">
      <c r="F981" s="1"/>
    </row>
    <row r="982" spans="6:6" ht="15.75" customHeight="1">
      <c r="F982" s="1"/>
    </row>
    <row r="983" spans="6:6" ht="15.75" customHeight="1">
      <c r="F983" s="1"/>
    </row>
    <row r="984" spans="6:6" ht="15.75" customHeight="1">
      <c r="F984" s="1"/>
    </row>
    <row r="985" spans="6:6" ht="15.75" customHeight="1">
      <c r="F985" s="1"/>
    </row>
    <row r="986" spans="6:6" ht="15.75" customHeight="1">
      <c r="F986" s="1"/>
    </row>
    <row r="987" spans="6:6" ht="15.75" customHeight="1">
      <c r="F987" s="1"/>
    </row>
    <row r="988" spans="6:6" ht="15.75" customHeight="1">
      <c r="F988" s="1"/>
    </row>
    <row r="989" spans="6:6" ht="15.75" customHeight="1">
      <c r="F989" s="1"/>
    </row>
    <row r="990" spans="6:6" ht="15.75" customHeight="1">
      <c r="F990" s="1"/>
    </row>
    <row r="991" spans="6:6" ht="15.75" customHeight="1">
      <c r="F991" s="1"/>
    </row>
    <row r="992" spans="6:6" ht="15.75" customHeight="1">
      <c r="F992" s="1"/>
    </row>
    <row r="993" spans="6:6" ht="15.75" customHeight="1">
      <c r="F993" s="1"/>
    </row>
    <row r="994" spans="6:6" ht="15.75" customHeight="1">
      <c r="F994" s="1"/>
    </row>
    <row r="995" spans="6:6" ht="15.75" customHeight="1">
      <c r="F995" s="1"/>
    </row>
    <row r="996" spans="6:6" ht="15.75" customHeight="1">
      <c r="F996" s="1"/>
    </row>
    <row r="997" spans="6:6" ht="15.75" customHeight="1">
      <c r="F997" s="1"/>
    </row>
    <row r="998" spans="6:6" ht="15.75" customHeight="1">
      <c r="F998" s="1"/>
    </row>
    <row r="999" spans="6:6" ht="15.75" customHeight="1">
      <c r="F999" s="1"/>
    </row>
    <row r="1000" spans="6:6" ht="15.75" customHeight="1">
      <c r="F1000" s="1"/>
    </row>
  </sheetData>
  <mergeCells count="3">
    <mergeCell ref="F24:K24"/>
    <mergeCell ref="F25:K25"/>
    <mergeCell ref="F26:K26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FCFC-DBD4-45B7-9971-B093497730F8}">
  <sheetPr codeName="Foglio4"/>
  <dimension ref="A1:C13"/>
  <sheetViews>
    <sheetView workbookViewId="0">
      <selection activeCell="C11" sqref="C11"/>
    </sheetView>
  </sheetViews>
  <sheetFormatPr defaultRowHeight="15"/>
  <cols>
    <col min="1" max="1" width="18.5703125" bestFit="1" customWidth="1"/>
    <col min="2" max="4" width="17.28515625" bestFit="1" customWidth="1"/>
    <col min="5" max="5" width="10.5703125" bestFit="1" customWidth="1"/>
    <col min="6" max="6" width="14.28515625" bestFit="1" customWidth="1"/>
    <col min="7" max="7" width="11.28515625" bestFit="1" customWidth="1"/>
    <col min="8" max="8" width="9.28515625" bestFit="1" customWidth="1"/>
    <col min="9" max="9" width="10.5703125" bestFit="1" customWidth="1"/>
  </cols>
  <sheetData>
    <row r="1" spans="1:3">
      <c r="A1" s="28" t="s">
        <v>141</v>
      </c>
      <c r="B1" s="28" t="s">
        <v>142</v>
      </c>
      <c r="C1" s="28" t="s">
        <v>174</v>
      </c>
    </row>
    <row r="2" spans="1:3">
      <c r="A2" s="29" t="s">
        <v>143</v>
      </c>
      <c r="B2" s="29">
        <v>27.99</v>
      </c>
      <c r="C2" s="31">
        <v>1</v>
      </c>
    </row>
    <row r="3" spans="1:3">
      <c r="A3" s="29" t="s">
        <v>165</v>
      </c>
      <c r="B3" s="29">
        <v>27.99</v>
      </c>
      <c r="C3" s="31">
        <v>1</v>
      </c>
    </row>
    <row r="4" spans="1:3">
      <c r="A4" s="30" t="s">
        <v>166</v>
      </c>
      <c r="B4" s="29">
        <v>27.99</v>
      </c>
      <c r="C4" s="31">
        <v>1</v>
      </c>
    </row>
    <row r="5" spans="1:3">
      <c r="A5" s="30" t="s">
        <v>167</v>
      </c>
      <c r="B5" s="29">
        <v>32.99</v>
      </c>
      <c r="C5" s="32">
        <v>3</v>
      </c>
    </row>
    <row r="6" spans="1:3">
      <c r="A6" s="30" t="s">
        <v>168</v>
      </c>
      <c r="B6" s="29">
        <v>32.99</v>
      </c>
      <c r="C6" s="32">
        <v>3</v>
      </c>
    </row>
    <row r="7" spans="1:3">
      <c r="A7" s="30" t="s">
        <v>169</v>
      </c>
      <c r="B7" s="29">
        <v>27.99</v>
      </c>
      <c r="C7" s="31">
        <v>1</v>
      </c>
    </row>
    <row r="8" spans="1:3">
      <c r="A8" s="30" t="s">
        <v>170</v>
      </c>
      <c r="B8" s="29">
        <v>27.99</v>
      </c>
      <c r="C8" s="31">
        <v>1</v>
      </c>
    </row>
    <row r="9" spans="1:3">
      <c r="A9" s="30" t="s">
        <v>173</v>
      </c>
      <c r="B9" s="30">
        <v>29.99</v>
      </c>
      <c r="C9" s="33">
        <v>2</v>
      </c>
    </row>
    <row r="12" spans="1:3">
      <c r="A12" s="24" t="s">
        <v>171</v>
      </c>
    </row>
    <row r="13" spans="1:3">
      <c r="A13" s="24" t="s">
        <v>172</v>
      </c>
    </row>
  </sheetData>
  <phoneticPr fontId="3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/>
  <dimension ref="A1:AB1011"/>
  <sheetViews>
    <sheetView tabSelected="1" topLeftCell="B1" zoomScale="85" zoomScaleNormal="85" workbookViewId="0">
      <selection activeCell="R47" sqref="R47"/>
    </sheetView>
  </sheetViews>
  <sheetFormatPr defaultColWidth="14.42578125" defaultRowHeight="15" customHeight="1"/>
  <cols>
    <col min="1" max="1" width="13.85546875" customWidth="1"/>
    <col min="2" max="2" width="26.42578125" bestFit="1" customWidth="1"/>
    <col min="3" max="3" width="26.85546875" bestFit="1" customWidth="1"/>
    <col min="4" max="4" width="10" bestFit="1" customWidth="1"/>
    <col min="5" max="5" width="23.28515625" customWidth="1"/>
    <col min="6" max="6" width="25.85546875" bestFit="1" customWidth="1"/>
    <col min="7" max="7" width="32.5703125" bestFit="1" customWidth="1"/>
    <col min="8" max="8" width="17.28515625" bestFit="1" customWidth="1"/>
    <col min="9" max="9" width="15.7109375" bestFit="1" customWidth="1"/>
    <col min="10" max="10" width="22.42578125" bestFit="1" customWidth="1"/>
    <col min="11" max="11" width="13.85546875" bestFit="1" customWidth="1"/>
    <col min="12" max="12" width="3" customWidth="1"/>
    <col min="13" max="13" width="6" bestFit="1" customWidth="1"/>
    <col min="14" max="14" width="32.85546875" bestFit="1" customWidth="1"/>
    <col min="15" max="15" width="18.5703125" bestFit="1" customWidth="1"/>
    <col min="16" max="16" width="10.42578125" bestFit="1" customWidth="1"/>
    <col min="17" max="17" width="3.28515625" bestFit="1" customWidth="1"/>
    <col min="18" max="18" width="9.42578125" bestFit="1" customWidth="1"/>
    <col min="19" max="19" width="8.42578125" bestFit="1" customWidth="1"/>
    <col min="20" max="28" width="8.7109375" customWidth="1"/>
  </cols>
  <sheetData>
    <row r="1" spans="1:28" ht="27.75" thickBot="1">
      <c r="A1" s="343" t="s">
        <v>48</v>
      </c>
      <c r="B1" s="343"/>
      <c r="C1" s="343"/>
      <c r="D1" s="343"/>
      <c r="E1" s="343"/>
      <c r="F1" s="343"/>
      <c r="G1" s="343"/>
      <c r="H1" s="343"/>
      <c r="I1" s="343"/>
      <c r="J1" s="343"/>
      <c r="K1" s="344"/>
      <c r="L1" s="34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9.5" thickTop="1" thickBot="1">
      <c r="A2" s="25" t="s">
        <v>105</v>
      </c>
      <c r="B2" s="25" t="s">
        <v>49</v>
      </c>
      <c r="C2" s="25" t="s">
        <v>50</v>
      </c>
      <c r="D2" s="25" t="s">
        <v>164</v>
      </c>
      <c r="E2" s="25" t="s">
        <v>51</v>
      </c>
      <c r="F2" s="25" t="s">
        <v>52</v>
      </c>
      <c r="G2" s="25" t="s">
        <v>53</v>
      </c>
      <c r="H2" s="25" t="s">
        <v>54</v>
      </c>
      <c r="I2" s="25" t="s">
        <v>55</v>
      </c>
      <c r="J2" s="25" t="s">
        <v>56</v>
      </c>
      <c r="K2" s="26" t="s">
        <v>57</v>
      </c>
      <c r="L2" s="3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140" customFormat="1" ht="15.75" thickTop="1">
      <c r="A3" s="295" t="s">
        <v>117</v>
      </c>
      <c r="B3" s="296">
        <v>45685</v>
      </c>
      <c r="C3" s="296" t="s">
        <v>58</v>
      </c>
      <c r="D3" s="297">
        <f t="shared" ref="D3:D12" si="0">VALUE(RIGHT(C3,10))-VALUE(RIGHT(B3,10))</f>
        <v>7</v>
      </c>
      <c r="E3" s="297" t="s">
        <v>59</v>
      </c>
      <c r="F3" s="297" t="s">
        <v>60</v>
      </c>
      <c r="G3" s="297" t="s">
        <v>419</v>
      </c>
      <c r="H3" s="297" t="s">
        <v>61</v>
      </c>
      <c r="I3" s="297" t="s">
        <v>62</v>
      </c>
      <c r="J3" s="297" t="s">
        <v>63</v>
      </c>
      <c r="K3" s="298">
        <v>8</v>
      </c>
      <c r="L3" s="138"/>
      <c r="M3" s="139"/>
      <c r="N3" s="285" t="s">
        <v>64</v>
      </c>
      <c r="O3" s="285" t="s">
        <v>65</v>
      </c>
      <c r="P3" s="285" t="s">
        <v>66</v>
      </c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</row>
    <row r="4" spans="1:28" s="140" customFormat="1">
      <c r="A4" s="111" t="s">
        <v>117</v>
      </c>
      <c r="B4" s="141">
        <v>45685</v>
      </c>
      <c r="C4" s="141">
        <v>45692</v>
      </c>
      <c r="D4" s="111">
        <f t="shared" si="0"/>
        <v>7</v>
      </c>
      <c r="E4" s="111" t="s">
        <v>59</v>
      </c>
      <c r="F4" s="111" t="s">
        <v>239</v>
      </c>
      <c r="G4" s="142" t="s">
        <v>67</v>
      </c>
      <c r="H4" s="111" t="s">
        <v>68</v>
      </c>
      <c r="I4" s="111" t="s">
        <v>69</v>
      </c>
      <c r="J4" s="322" t="s">
        <v>70</v>
      </c>
      <c r="K4" s="299">
        <v>7</v>
      </c>
      <c r="L4" s="138"/>
      <c r="M4" s="139"/>
      <c r="N4" s="279" t="s">
        <v>63</v>
      </c>
      <c r="O4" s="143">
        <f>SUMIF(J:J, "ANNULLATO", K:K)</f>
        <v>8</v>
      </c>
      <c r="P4" s="144">
        <f>COUNTIF(J:J, "ANNULLATO")</f>
        <v>1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</row>
    <row r="5" spans="1:28" s="140" customFormat="1">
      <c r="A5" s="111" t="s">
        <v>117</v>
      </c>
      <c r="B5" s="141">
        <v>45686</v>
      </c>
      <c r="C5" s="141" t="s">
        <v>71</v>
      </c>
      <c r="D5" s="111">
        <f t="shared" si="0"/>
        <v>16</v>
      </c>
      <c r="E5" s="111" t="s">
        <v>59</v>
      </c>
      <c r="F5" s="111" t="s">
        <v>60</v>
      </c>
      <c r="G5" s="142" t="s">
        <v>72</v>
      </c>
      <c r="H5" s="111" t="s">
        <v>61</v>
      </c>
      <c r="I5" s="111" t="s">
        <v>62</v>
      </c>
      <c r="J5" s="322" t="s">
        <v>70</v>
      </c>
      <c r="K5" s="299">
        <v>4.99</v>
      </c>
      <c r="L5" s="138"/>
      <c r="M5" s="139"/>
      <c r="N5" s="280" t="s">
        <v>73</v>
      </c>
      <c r="O5" s="145">
        <f>O8+O9</f>
        <v>0</v>
      </c>
      <c r="P5" s="146">
        <f>P9+P8</f>
        <v>0</v>
      </c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</row>
    <row r="6" spans="1:28" s="140" customFormat="1">
      <c r="A6" s="111" t="s">
        <v>117</v>
      </c>
      <c r="B6" s="200">
        <v>45686</v>
      </c>
      <c r="C6" s="141">
        <v>45695</v>
      </c>
      <c r="D6" s="111">
        <f t="shared" si="0"/>
        <v>9</v>
      </c>
      <c r="E6" s="111" t="s">
        <v>59</v>
      </c>
      <c r="F6" s="111" t="s">
        <v>74</v>
      </c>
      <c r="G6" s="159" t="s">
        <v>75</v>
      </c>
      <c r="H6" s="111" t="s">
        <v>76</v>
      </c>
      <c r="I6" s="111" t="s">
        <v>77</v>
      </c>
      <c r="J6" s="322" t="s">
        <v>70</v>
      </c>
      <c r="K6" s="299">
        <v>4.99</v>
      </c>
      <c r="L6" s="138"/>
      <c r="M6" s="139"/>
      <c r="N6" s="281" t="s">
        <v>78</v>
      </c>
      <c r="O6" s="147">
        <f>SUMIF(J:J, "CONSEGNATO", K:K) +O10</f>
        <v>637.53</v>
      </c>
      <c r="P6" s="148">
        <f>COUNTIF(J:J, "CONSEGNATO")</f>
        <v>28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</row>
    <row r="7" spans="1:28" s="140" customFormat="1" ht="15.75" thickBot="1">
      <c r="A7" s="113" t="s">
        <v>117</v>
      </c>
      <c r="B7" s="149">
        <v>45689</v>
      </c>
      <c r="C7" s="149">
        <v>45698</v>
      </c>
      <c r="D7" s="113">
        <f t="shared" si="0"/>
        <v>9</v>
      </c>
      <c r="E7" s="113" t="s">
        <v>59</v>
      </c>
      <c r="F7" s="113" t="s">
        <v>79</v>
      </c>
      <c r="G7" s="150" t="s">
        <v>80</v>
      </c>
      <c r="H7" s="113" t="s">
        <v>81</v>
      </c>
      <c r="I7" s="113" t="s">
        <v>77</v>
      </c>
      <c r="J7" s="324" t="s">
        <v>70</v>
      </c>
      <c r="K7" s="300">
        <v>9.48</v>
      </c>
      <c r="L7" s="138"/>
      <c r="M7" s="139"/>
      <c r="N7" s="281" t="s">
        <v>82</v>
      </c>
      <c r="O7" s="147">
        <f>SUMIF(J:J, "CONSEGNATO A MANO", K:K)</f>
        <v>18</v>
      </c>
      <c r="P7" s="148">
        <f>COUNTIF(J:J, "CONSEGNATO A MANO")</f>
        <v>2</v>
      </c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</row>
    <row r="8" spans="1:28" s="140" customFormat="1" ht="15.75" thickTop="1">
      <c r="A8" s="114" t="s">
        <v>121</v>
      </c>
      <c r="B8" s="137">
        <v>45691</v>
      </c>
      <c r="C8" s="137" t="s">
        <v>83</v>
      </c>
      <c r="D8" s="112">
        <f t="shared" si="0"/>
        <v>17</v>
      </c>
      <c r="E8" s="112" t="s">
        <v>59</v>
      </c>
      <c r="F8" s="112" t="s">
        <v>84</v>
      </c>
      <c r="G8" s="151" t="s">
        <v>85</v>
      </c>
      <c r="H8" s="112" t="s">
        <v>86</v>
      </c>
      <c r="I8" s="112" t="s">
        <v>77</v>
      </c>
      <c r="J8" s="322" t="s">
        <v>70</v>
      </c>
      <c r="K8" s="301">
        <v>7</v>
      </c>
      <c r="L8" s="138"/>
      <c r="M8" s="139"/>
      <c r="N8" s="282" t="s">
        <v>87</v>
      </c>
      <c r="O8" s="152">
        <f>SUMIF(J:J, "DA CONSEGNARE", K:K)</f>
        <v>0</v>
      </c>
      <c r="P8" s="153">
        <f>COUNTIF(J:J, "DA CONSEGNARE")</f>
        <v>0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</row>
    <row r="9" spans="1:28" s="140" customFormat="1">
      <c r="A9" s="115" t="s">
        <v>121</v>
      </c>
      <c r="B9" s="141">
        <v>45693</v>
      </c>
      <c r="C9" s="141">
        <v>45699</v>
      </c>
      <c r="D9" s="112">
        <f t="shared" si="0"/>
        <v>6</v>
      </c>
      <c r="E9" s="111" t="s">
        <v>59</v>
      </c>
      <c r="F9" s="111" t="s">
        <v>88</v>
      </c>
      <c r="G9" s="154" t="s">
        <v>89</v>
      </c>
      <c r="H9" s="111" t="s">
        <v>90</v>
      </c>
      <c r="I9" s="111" t="s">
        <v>77</v>
      </c>
      <c r="J9" s="322" t="s">
        <v>70</v>
      </c>
      <c r="K9" s="299">
        <v>12.33</v>
      </c>
      <c r="L9" s="138"/>
      <c r="M9" s="139"/>
      <c r="N9" s="283" t="s">
        <v>91</v>
      </c>
      <c r="O9" s="155">
        <f>SUMIF(J:J, "DA RITIRARE", K:K)</f>
        <v>0</v>
      </c>
      <c r="P9" s="156">
        <f>COUNTIF(J:J, "DA RITIRARE")</f>
        <v>0</v>
      </c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</row>
    <row r="10" spans="1:28" s="140" customFormat="1" ht="15.75" thickBot="1">
      <c r="A10" s="116" t="s">
        <v>121</v>
      </c>
      <c r="B10" s="149">
        <v>45695</v>
      </c>
      <c r="C10" s="149">
        <v>45702</v>
      </c>
      <c r="D10" s="113">
        <f t="shared" si="0"/>
        <v>7</v>
      </c>
      <c r="E10" s="113" t="s">
        <v>59</v>
      </c>
      <c r="F10" s="113" t="s">
        <v>92</v>
      </c>
      <c r="G10" s="150" t="s">
        <v>93</v>
      </c>
      <c r="H10" s="113" t="s">
        <v>94</v>
      </c>
      <c r="I10" s="113" t="s">
        <v>77</v>
      </c>
      <c r="J10" s="324" t="s">
        <v>70</v>
      </c>
      <c r="K10" s="300">
        <v>9</v>
      </c>
      <c r="L10" s="138"/>
      <c r="M10" s="139"/>
      <c r="N10" s="256" t="s">
        <v>355</v>
      </c>
      <c r="O10" s="291">
        <f>SUMIF(J:J, "RIMBORSATO", K:K)</f>
        <v>8</v>
      </c>
      <c r="P10" s="256">
        <f>COUNTIF(J:J, "RIMBORSATO")</f>
        <v>1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</row>
    <row r="11" spans="1:28" s="140" customFormat="1" ht="15.75" thickTop="1">
      <c r="A11" s="112" t="s">
        <v>127</v>
      </c>
      <c r="B11" s="137">
        <v>45699</v>
      </c>
      <c r="C11" s="137">
        <v>45700</v>
      </c>
      <c r="D11" s="112">
        <f t="shared" si="0"/>
        <v>1</v>
      </c>
      <c r="E11" s="112" t="s">
        <v>59</v>
      </c>
      <c r="F11" s="112" t="s">
        <v>95</v>
      </c>
      <c r="G11" s="151" t="s">
        <v>96</v>
      </c>
      <c r="H11" s="112" t="s">
        <v>97</v>
      </c>
      <c r="I11" s="112" t="s">
        <v>69</v>
      </c>
      <c r="J11" s="325" t="s">
        <v>70</v>
      </c>
      <c r="K11" s="301">
        <v>15</v>
      </c>
      <c r="L11" s="138"/>
      <c r="M11" s="139"/>
      <c r="N11" s="284" t="s">
        <v>407</v>
      </c>
      <c r="O11" s="157">
        <f>SUM(K4:K34)</f>
        <v>655.53</v>
      </c>
      <c r="P11" s="158">
        <f>SUM(P6:P9,P4)</f>
        <v>31</v>
      </c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</row>
    <row r="12" spans="1:28" s="140" customFormat="1">
      <c r="A12" s="111" t="s">
        <v>127</v>
      </c>
      <c r="B12" s="141">
        <v>45699</v>
      </c>
      <c r="C12" s="141" t="s">
        <v>71</v>
      </c>
      <c r="D12" s="112">
        <f t="shared" si="0"/>
        <v>3</v>
      </c>
      <c r="E12" s="111" t="s">
        <v>59</v>
      </c>
      <c r="F12" s="111" t="s">
        <v>98</v>
      </c>
      <c r="G12" s="159" t="s">
        <v>99</v>
      </c>
      <c r="H12" s="111" t="s">
        <v>100</v>
      </c>
      <c r="I12" s="111" t="s">
        <v>101</v>
      </c>
      <c r="J12" s="322" t="s">
        <v>70</v>
      </c>
      <c r="K12" s="299">
        <v>19.77</v>
      </c>
      <c r="L12" s="138"/>
      <c r="M12" s="139"/>
      <c r="N12" s="284" t="s">
        <v>406</v>
      </c>
      <c r="O12" s="157">
        <f>O11-O4+O10</f>
        <v>655.53</v>
      </c>
      <c r="P12" s="158">
        <f>P11-P4+P10</f>
        <v>31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</row>
    <row r="13" spans="1:28" s="140" customFormat="1">
      <c r="A13" s="111" t="s">
        <v>127</v>
      </c>
      <c r="B13" s="141">
        <v>45701</v>
      </c>
      <c r="C13" s="141" t="s">
        <v>102</v>
      </c>
      <c r="D13" s="111">
        <f t="shared" ref="D13:D34" si="1">VALUE(RIGHT(C13,10))-VALUE(RIGHT(B13,10))</f>
        <v>5</v>
      </c>
      <c r="E13" s="111" t="s">
        <v>59</v>
      </c>
      <c r="F13" s="111" t="s">
        <v>103</v>
      </c>
      <c r="G13" s="160" t="s">
        <v>257</v>
      </c>
      <c r="H13" s="111" t="s">
        <v>104</v>
      </c>
      <c r="I13" s="111" t="s">
        <v>77</v>
      </c>
      <c r="J13" s="322" t="s">
        <v>70</v>
      </c>
      <c r="K13" s="302">
        <v>24.99</v>
      </c>
      <c r="L13" s="138"/>
      <c r="M13" s="139"/>
      <c r="N13" s="284" t="s">
        <v>175</v>
      </c>
      <c r="O13" s="157">
        <f>O12-O7</f>
        <v>637.53</v>
      </c>
      <c r="P13" s="158">
        <f>P12-P7-P10</f>
        <v>28</v>
      </c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</row>
    <row r="14" spans="1:28" s="140" customFormat="1" ht="15.75" thickBot="1">
      <c r="A14" s="111" t="s">
        <v>127</v>
      </c>
      <c r="B14" s="141">
        <v>45701</v>
      </c>
      <c r="C14" s="141" t="s">
        <v>102</v>
      </c>
      <c r="D14" s="111">
        <f t="shared" si="1"/>
        <v>5</v>
      </c>
      <c r="E14" s="111" t="s">
        <v>59</v>
      </c>
      <c r="F14" s="111" t="s">
        <v>108</v>
      </c>
      <c r="G14" s="160" t="s">
        <v>161</v>
      </c>
      <c r="H14" s="111" t="s">
        <v>109</v>
      </c>
      <c r="I14" s="111" t="s">
        <v>77</v>
      </c>
      <c r="J14" s="322" t="s">
        <v>70</v>
      </c>
      <c r="K14" s="302">
        <v>19</v>
      </c>
      <c r="L14" s="138"/>
      <c r="T14" s="139"/>
      <c r="U14" s="139"/>
      <c r="V14" s="139"/>
      <c r="W14" s="139"/>
      <c r="X14" s="139"/>
      <c r="Y14" s="139"/>
      <c r="Z14" s="139"/>
      <c r="AA14" s="139"/>
      <c r="AB14" s="139"/>
    </row>
    <row r="15" spans="1:28" s="140" customFormat="1" ht="16.5" thickTop="1" thickBot="1">
      <c r="A15" s="113" t="s">
        <v>127</v>
      </c>
      <c r="B15" s="149">
        <v>45702</v>
      </c>
      <c r="C15" s="149" t="s">
        <v>83</v>
      </c>
      <c r="D15" s="113">
        <f t="shared" si="1"/>
        <v>6</v>
      </c>
      <c r="E15" s="113" t="s">
        <v>59</v>
      </c>
      <c r="F15" s="113" t="s">
        <v>113</v>
      </c>
      <c r="G15" s="129" t="s">
        <v>114</v>
      </c>
      <c r="H15" s="113" t="s">
        <v>115</v>
      </c>
      <c r="I15" s="113" t="s">
        <v>69</v>
      </c>
      <c r="J15" s="324" t="s">
        <v>70</v>
      </c>
      <c r="K15" s="300">
        <v>6</v>
      </c>
      <c r="L15" s="161"/>
      <c r="M15" s="352" t="s">
        <v>105</v>
      </c>
      <c r="N15" s="353"/>
      <c r="O15" s="354"/>
      <c r="P15" s="345" t="s">
        <v>106</v>
      </c>
      <c r="Q15" s="346"/>
      <c r="R15" s="347" t="s">
        <v>107</v>
      </c>
      <c r="S15" s="348"/>
      <c r="T15" s="139"/>
      <c r="U15" s="139"/>
      <c r="V15" s="139"/>
      <c r="W15" s="139"/>
      <c r="X15" s="139"/>
      <c r="Y15" s="139"/>
      <c r="Z15" s="139"/>
      <c r="AA15" s="139"/>
      <c r="AB15" s="139"/>
    </row>
    <row r="16" spans="1:28" s="140" customFormat="1" ht="16.5" thickTop="1" thickBot="1">
      <c r="A16" s="114" t="s">
        <v>132</v>
      </c>
      <c r="B16" s="137" t="s">
        <v>102</v>
      </c>
      <c r="C16" s="137" t="s">
        <v>138</v>
      </c>
      <c r="D16" s="130">
        <f t="shared" si="1"/>
        <v>6</v>
      </c>
      <c r="E16" s="112" t="s">
        <v>59</v>
      </c>
      <c r="F16" s="112" t="s">
        <v>118</v>
      </c>
      <c r="G16" s="162" t="s">
        <v>263</v>
      </c>
      <c r="H16" s="112" t="s">
        <v>119</v>
      </c>
      <c r="I16" s="112" t="s">
        <v>77</v>
      </c>
      <c r="J16" s="325" t="s">
        <v>70</v>
      </c>
      <c r="K16" s="301">
        <v>8.5</v>
      </c>
      <c r="L16" s="138"/>
      <c r="M16" s="286" t="s">
        <v>163</v>
      </c>
      <c r="N16" s="287" t="s">
        <v>110</v>
      </c>
      <c r="O16" s="287" t="s">
        <v>176</v>
      </c>
      <c r="P16" s="288" t="s">
        <v>65</v>
      </c>
      <c r="Q16" s="288" t="s">
        <v>66</v>
      </c>
      <c r="R16" s="288" t="s">
        <v>111</v>
      </c>
      <c r="S16" s="289" t="s">
        <v>112</v>
      </c>
      <c r="T16" s="139"/>
      <c r="U16" s="139"/>
      <c r="V16" s="139"/>
      <c r="W16" s="139"/>
      <c r="X16" s="139"/>
      <c r="Y16" s="139"/>
      <c r="Z16" s="139"/>
      <c r="AA16" s="139"/>
      <c r="AB16" s="139"/>
    </row>
    <row r="17" spans="1:28" s="140" customFormat="1" ht="15.75" thickTop="1">
      <c r="A17" s="115" t="s">
        <v>132</v>
      </c>
      <c r="B17" s="141" t="s">
        <v>102</v>
      </c>
      <c r="C17" s="141" t="s">
        <v>102</v>
      </c>
      <c r="D17" s="111">
        <f t="shared" si="1"/>
        <v>0</v>
      </c>
      <c r="E17" s="111" t="s">
        <v>59</v>
      </c>
      <c r="F17" s="111" t="s">
        <v>122</v>
      </c>
      <c r="G17" s="142" t="s">
        <v>415</v>
      </c>
      <c r="H17" s="111" t="s">
        <v>123</v>
      </c>
      <c r="I17" s="111" t="s">
        <v>124</v>
      </c>
      <c r="J17" s="165" t="s">
        <v>125</v>
      </c>
      <c r="K17" s="299">
        <v>8</v>
      </c>
      <c r="L17" s="138"/>
      <c r="M17" s="349" t="s">
        <v>423</v>
      </c>
      <c r="N17" s="163" t="s">
        <v>116</v>
      </c>
      <c r="O17" s="42" t="s">
        <v>117</v>
      </c>
      <c r="P17" s="41">
        <f>SUMIFS(K:K, A:A, O17, J:J, "&lt;&gt;ANNULLATO")</f>
        <v>26.46</v>
      </c>
      <c r="Q17" s="42">
        <f t="shared" ref="Q17:Q27" si="2">COUNTIFS(A:A, O17, J:J, "&lt;&gt;ANNULLATO")</f>
        <v>4</v>
      </c>
      <c r="R17" s="41">
        <f t="shared" ref="R17:R27" si="3">P17/Q17</f>
        <v>6.6150000000000002</v>
      </c>
      <c r="S17" s="164">
        <f t="shared" ref="S17:S26" si="4">P17/6</f>
        <v>4.41</v>
      </c>
      <c r="T17" s="139"/>
      <c r="U17" s="139"/>
      <c r="V17" s="139"/>
      <c r="W17" s="139"/>
      <c r="X17" s="139"/>
      <c r="Y17" s="139"/>
      <c r="Z17" s="139"/>
      <c r="AA17" s="139"/>
      <c r="AB17" s="139"/>
    </row>
    <row r="18" spans="1:28" s="140" customFormat="1">
      <c r="A18" s="115" t="s">
        <v>132</v>
      </c>
      <c r="B18" s="141" t="s">
        <v>128</v>
      </c>
      <c r="C18" s="141" t="s">
        <v>139</v>
      </c>
      <c r="D18" s="112">
        <f t="shared" si="1"/>
        <v>6</v>
      </c>
      <c r="E18" s="111" t="s">
        <v>59</v>
      </c>
      <c r="F18" s="111" t="s">
        <v>129</v>
      </c>
      <c r="G18" s="169" t="s">
        <v>262</v>
      </c>
      <c r="H18" s="111" t="s">
        <v>130</v>
      </c>
      <c r="I18" s="111" t="s">
        <v>77</v>
      </c>
      <c r="J18" s="322" t="s">
        <v>70</v>
      </c>
      <c r="K18" s="299">
        <v>18</v>
      </c>
      <c r="L18" s="138"/>
      <c r="M18" s="349"/>
      <c r="N18" s="166" t="s">
        <v>120</v>
      </c>
      <c r="O18" s="37" t="s">
        <v>121</v>
      </c>
      <c r="P18" s="27">
        <f t="shared" ref="P18:P25" si="5">SUMIFS(K:K, A:A, O18, J:J, "&lt;&gt;ANNULLATO")</f>
        <v>28.33</v>
      </c>
      <c r="Q18" s="167">
        <f t="shared" si="2"/>
        <v>3</v>
      </c>
      <c r="R18" s="27">
        <f t="shared" si="3"/>
        <v>9.4433333333333334</v>
      </c>
      <c r="S18" s="168">
        <f t="shared" si="4"/>
        <v>4.7216666666666667</v>
      </c>
      <c r="T18" s="139"/>
      <c r="U18" s="139"/>
      <c r="V18" s="139"/>
      <c r="W18" s="139"/>
      <c r="X18" s="139"/>
      <c r="Y18" s="139"/>
      <c r="Z18" s="139"/>
      <c r="AA18" s="139"/>
      <c r="AB18" s="139"/>
    </row>
    <row r="19" spans="1:28" s="140" customFormat="1" ht="15.75" thickBot="1">
      <c r="A19" s="116" t="s">
        <v>132</v>
      </c>
      <c r="B19" s="149" t="s">
        <v>133</v>
      </c>
      <c r="C19" s="149" t="s">
        <v>177</v>
      </c>
      <c r="D19" s="113">
        <f t="shared" si="1"/>
        <v>5</v>
      </c>
      <c r="E19" s="113" t="s">
        <v>59</v>
      </c>
      <c r="F19" s="149" t="s">
        <v>134</v>
      </c>
      <c r="G19" s="172" t="s">
        <v>258</v>
      </c>
      <c r="H19" s="149" t="s">
        <v>135</v>
      </c>
      <c r="I19" s="149" t="s">
        <v>101</v>
      </c>
      <c r="J19" s="326" t="s">
        <v>70</v>
      </c>
      <c r="K19" s="303">
        <v>45</v>
      </c>
      <c r="L19" s="138"/>
      <c r="M19" s="349"/>
      <c r="N19" s="170" t="s">
        <v>126</v>
      </c>
      <c r="O19" s="36" t="s">
        <v>127</v>
      </c>
      <c r="P19" s="23">
        <f t="shared" si="5"/>
        <v>84.759999999999991</v>
      </c>
      <c r="Q19" s="36">
        <f t="shared" si="2"/>
        <v>5</v>
      </c>
      <c r="R19" s="23">
        <f t="shared" si="3"/>
        <v>16.951999999999998</v>
      </c>
      <c r="S19" s="171">
        <f t="shared" si="4"/>
        <v>14.126666666666665</v>
      </c>
      <c r="T19" s="139"/>
      <c r="U19" s="139"/>
      <c r="V19" s="139"/>
      <c r="W19" s="139"/>
      <c r="X19" s="139"/>
      <c r="Y19" s="139"/>
      <c r="Z19" s="139"/>
      <c r="AA19" s="139"/>
      <c r="AB19" s="139"/>
    </row>
    <row r="20" spans="1:28" s="140" customFormat="1" ht="15.75" thickTop="1">
      <c r="A20" s="112" t="s">
        <v>137</v>
      </c>
      <c r="B20" s="193" t="s">
        <v>139</v>
      </c>
      <c r="C20" s="193" t="s">
        <v>139</v>
      </c>
      <c r="D20" s="117">
        <f t="shared" si="1"/>
        <v>0</v>
      </c>
      <c r="E20" s="117" t="s">
        <v>59</v>
      </c>
      <c r="F20" s="117" t="s">
        <v>59</v>
      </c>
      <c r="G20" s="117" t="s">
        <v>240</v>
      </c>
      <c r="H20" s="117" t="s">
        <v>140</v>
      </c>
      <c r="I20" s="117" t="s">
        <v>124</v>
      </c>
      <c r="J20" s="173" t="s">
        <v>125</v>
      </c>
      <c r="K20" s="304">
        <v>10</v>
      </c>
      <c r="L20" s="174"/>
      <c r="M20" s="349"/>
      <c r="N20" s="166" t="s">
        <v>131</v>
      </c>
      <c r="O20" s="37" t="s">
        <v>132</v>
      </c>
      <c r="P20" s="27">
        <f t="shared" si="5"/>
        <v>79.5</v>
      </c>
      <c r="Q20" s="167">
        <f t="shared" si="2"/>
        <v>4</v>
      </c>
      <c r="R20" s="27">
        <f t="shared" si="3"/>
        <v>19.875</v>
      </c>
      <c r="S20" s="168">
        <f t="shared" si="4"/>
        <v>13.25</v>
      </c>
      <c r="T20" s="139"/>
      <c r="U20" s="139"/>
      <c r="V20" s="139"/>
      <c r="W20" s="139"/>
      <c r="X20" s="139"/>
      <c r="Y20" s="139"/>
      <c r="Z20" s="139"/>
      <c r="AA20" s="139"/>
      <c r="AB20" s="139"/>
    </row>
    <row r="21" spans="1:28" s="140" customFormat="1" ht="15.75" thickBot="1">
      <c r="A21" s="111" t="s">
        <v>137</v>
      </c>
      <c r="B21" s="194" t="s">
        <v>159</v>
      </c>
      <c r="C21" s="194" t="s">
        <v>189</v>
      </c>
      <c r="D21" s="117">
        <f t="shared" si="1"/>
        <v>2</v>
      </c>
      <c r="E21" s="178" t="s">
        <v>59</v>
      </c>
      <c r="F21" s="118" t="s">
        <v>162</v>
      </c>
      <c r="G21" s="119" t="s">
        <v>161</v>
      </c>
      <c r="H21" s="118" t="s">
        <v>160</v>
      </c>
      <c r="I21" s="118" t="s">
        <v>69</v>
      </c>
      <c r="J21" s="327" t="s">
        <v>70</v>
      </c>
      <c r="K21" s="305">
        <v>25</v>
      </c>
      <c r="L21" s="139"/>
      <c r="M21" s="350"/>
      <c r="N21" s="175" t="s">
        <v>136</v>
      </c>
      <c r="O21" s="176" t="s">
        <v>137</v>
      </c>
      <c r="P21" s="39">
        <f t="shared" si="5"/>
        <v>59.989999999999995</v>
      </c>
      <c r="Q21" s="176">
        <f t="shared" si="2"/>
        <v>3</v>
      </c>
      <c r="R21" s="39">
        <f t="shared" si="3"/>
        <v>19.996666666666666</v>
      </c>
      <c r="S21" s="177">
        <f t="shared" si="4"/>
        <v>9.9983333333333331</v>
      </c>
      <c r="T21" s="139"/>
      <c r="U21" s="139"/>
      <c r="V21" s="139"/>
      <c r="W21" s="139"/>
      <c r="X21" s="139"/>
      <c r="Y21" s="139"/>
      <c r="Z21" s="139"/>
      <c r="AA21" s="139"/>
      <c r="AB21" s="139"/>
    </row>
    <row r="22" spans="1:28" s="140" customFormat="1" ht="16.5" thickTop="1" thickBot="1">
      <c r="A22" s="120" t="s">
        <v>137</v>
      </c>
      <c r="B22" s="195" t="s">
        <v>190</v>
      </c>
      <c r="C22" s="195" t="s">
        <v>191</v>
      </c>
      <c r="D22" s="132">
        <f t="shared" si="1"/>
        <v>7</v>
      </c>
      <c r="E22" s="121" t="s">
        <v>59</v>
      </c>
      <c r="F22" s="121" t="s">
        <v>178</v>
      </c>
      <c r="G22" s="122" t="s">
        <v>257</v>
      </c>
      <c r="H22" s="121" t="s">
        <v>179</v>
      </c>
      <c r="I22" s="121" t="s">
        <v>77</v>
      </c>
      <c r="J22" s="328" t="s">
        <v>70</v>
      </c>
      <c r="K22" s="306">
        <v>24.99</v>
      </c>
      <c r="L22" s="180"/>
      <c r="M22" s="351" t="s">
        <v>424</v>
      </c>
      <c r="N22" s="179" t="s">
        <v>116</v>
      </c>
      <c r="O22" s="40" t="s">
        <v>186</v>
      </c>
      <c r="P22" s="43">
        <f t="shared" si="5"/>
        <v>8.5</v>
      </c>
      <c r="Q22" s="45">
        <f t="shared" si="2"/>
        <v>1</v>
      </c>
      <c r="R22" s="43">
        <f t="shared" si="3"/>
        <v>8.5</v>
      </c>
      <c r="S22" s="46">
        <f t="shared" si="4"/>
        <v>1.4166666666666667</v>
      </c>
    </row>
    <row r="23" spans="1:28" s="140" customFormat="1" ht="15.75" customHeight="1" thickTop="1" thickBot="1">
      <c r="A23" s="123" t="s">
        <v>186</v>
      </c>
      <c r="B23" s="196" t="s">
        <v>181</v>
      </c>
      <c r="C23" s="196" t="s">
        <v>191</v>
      </c>
      <c r="D23" s="124">
        <f t="shared" si="1"/>
        <v>5</v>
      </c>
      <c r="E23" s="124" t="s">
        <v>59</v>
      </c>
      <c r="F23" s="124" t="s">
        <v>182</v>
      </c>
      <c r="G23" s="125" t="s">
        <v>263</v>
      </c>
      <c r="H23" s="124" t="s">
        <v>183</v>
      </c>
      <c r="I23" s="124" t="s">
        <v>77</v>
      </c>
      <c r="J23" s="329" t="s">
        <v>70</v>
      </c>
      <c r="K23" s="307">
        <v>8.5</v>
      </c>
      <c r="L23" s="139"/>
      <c r="M23" s="349"/>
      <c r="N23" s="181" t="s">
        <v>120</v>
      </c>
      <c r="O23" s="36" t="s">
        <v>184</v>
      </c>
      <c r="P23" s="44">
        <f t="shared" si="5"/>
        <v>81</v>
      </c>
      <c r="Q23" s="47">
        <f t="shared" si="2"/>
        <v>3</v>
      </c>
      <c r="R23" s="48">
        <f t="shared" si="3"/>
        <v>27</v>
      </c>
      <c r="S23" s="49">
        <f t="shared" si="4"/>
        <v>13.5</v>
      </c>
      <c r="T23" s="139"/>
      <c r="U23" s="139"/>
      <c r="V23" s="139"/>
      <c r="W23" s="139"/>
      <c r="X23" s="139"/>
      <c r="Y23" s="139"/>
      <c r="Z23" s="139"/>
      <c r="AA23" s="139"/>
      <c r="AB23" s="139"/>
    </row>
    <row r="24" spans="1:28" s="140" customFormat="1" ht="15.75" customHeight="1" thickTop="1">
      <c r="A24" s="126" t="s">
        <v>184</v>
      </c>
      <c r="B24" s="137" t="s">
        <v>192</v>
      </c>
      <c r="C24" s="137" t="s">
        <v>218</v>
      </c>
      <c r="D24" s="112">
        <f t="shared" si="1"/>
        <v>5</v>
      </c>
      <c r="E24" s="112" t="s">
        <v>59</v>
      </c>
      <c r="F24" s="112" t="s">
        <v>193</v>
      </c>
      <c r="G24" s="127" t="s">
        <v>261</v>
      </c>
      <c r="H24" s="112" t="s">
        <v>194</v>
      </c>
      <c r="I24" s="112" t="s">
        <v>69</v>
      </c>
      <c r="J24" s="325" t="s">
        <v>70</v>
      </c>
      <c r="K24" s="308">
        <v>19</v>
      </c>
      <c r="L24" s="139"/>
      <c r="M24" s="349"/>
      <c r="N24" s="182" t="s">
        <v>126</v>
      </c>
      <c r="O24" s="37" t="s">
        <v>185</v>
      </c>
      <c r="P24" s="51">
        <f t="shared" si="5"/>
        <v>137</v>
      </c>
      <c r="Q24" s="52">
        <f t="shared" si="2"/>
        <v>2</v>
      </c>
      <c r="R24" s="53">
        <f t="shared" si="3"/>
        <v>68.5</v>
      </c>
      <c r="S24" s="54">
        <f t="shared" si="4"/>
        <v>22.833333333333332</v>
      </c>
      <c r="T24" s="139"/>
      <c r="U24" s="139"/>
      <c r="V24" s="139"/>
      <c r="W24" s="139"/>
      <c r="X24" s="139"/>
      <c r="Y24" s="139"/>
      <c r="Z24" s="139"/>
      <c r="AA24" s="139"/>
      <c r="AB24" s="139"/>
    </row>
    <row r="25" spans="1:28" s="140" customFormat="1" ht="15.75" customHeight="1">
      <c r="A25" s="111" t="s">
        <v>184</v>
      </c>
      <c r="B25" s="141" t="s">
        <v>195</v>
      </c>
      <c r="C25" s="141" t="s">
        <v>219</v>
      </c>
      <c r="D25" s="111">
        <f t="shared" si="1"/>
        <v>2</v>
      </c>
      <c r="E25" s="111" t="s">
        <v>59</v>
      </c>
      <c r="F25" s="111" t="s">
        <v>196</v>
      </c>
      <c r="G25" s="128" t="s">
        <v>258</v>
      </c>
      <c r="H25" s="111" t="s">
        <v>197</v>
      </c>
      <c r="I25" s="111" t="s">
        <v>69</v>
      </c>
      <c r="J25" s="322" t="s">
        <v>70</v>
      </c>
      <c r="K25" s="309">
        <v>52</v>
      </c>
      <c r="L25" s="139"/>
      <c r="M25" s="349"/>
      <c r="N25" s="181" t="s">
        <v>131</v>
      </c>
      <c r="O25" s="38" t="s">
        <v>187</v>
      </c>
      <c r="P25" s="48">
        <f t="shared" si="5"/>
        <v>8</v>
      </c>
      <c r="Q25" s="47">
        <f t="shared" si="2"/>
        <v>1</v>
      </c>
      <c r="R25" s="48">
        <f t="shared" si="3"/>
        <v>8</v>
      </c>
      <c r="S25" s="49">
        <f t="shared" si="4"/>
        <v>1.3333333333333333</v>
      </c>
      <c r="T25" s="139"/>
      <c r="U25" s="139"/>
      <c r="V25" s="139"/>
      <c r="W25" s="139"/>
      <c r="X25" s="139"/>
      <c r="Y25" s="139"/>
      <c r="Z25" s="139"/>
      <c r="AA25" s="139"/>
      <c r="AB25" s="139"/>
    </row>
    <row r="26" spans="1:28" s="140" customFormat="1" ht="15.75" customHeight="1" thickBot="1">
      <c r="A26" s="113" t="s">
        <v>184</v>
      </c>
      <c r="B26" s="149" t="s">
        <v>198</v>
      </c>
      <c r="C26" s="149" t="s">
        <v>225</v>
      </c>
      <c r="D26" s="113">
        <f t="shared" si="1"/>
        <v>6</v>
      </c>
      <c r="E26" s="113" t="s">
        <v>59</v>
      </c>
      <c r="F26" s="113" t="s">
        <v>199</v>
      </c>
      <c r="G26" s="129" t="s">
        <v>67</v>
      </c>
      <c r="H26" s="113" t="s">
        <v>200</v>
      </c>
      <c r="I26" s="113" t="s">
        <v>101</v>
      </c>
      <c r="J26" s="324" t="s">
        <v>70</v>
      </c>
      <c r="K26" s="310">
        <v>10</v>
      </c>
      <c r="L26" s="139"/>
      <c r="M26" s="350"/>
      <c r="N26" s="183" t="s">
        <v>136</v>
      </c>
      <c r="O26" s="184" t="s">
        <v>188</v>
      </c>
      <c r="P26" s="185">
        <f>SUMIFS(K:K, A:A, O26, J:J, "&lt;&gt;ANNULLATO")</f>
        <v>58</v>
      </c>
      <c r="Q26" s="186">
        <f t="shared" si="2"/>
        <v>1</v>
      </c>
      <c r="R26" s="185">
        <f t="shared" si="3"/>
        <v>58</v>
      </c>
      <c r="S26" s="187">
        <f t="shared" si="4"/>
        <v>9.6666666666666661</v>
      </c>
      <c r="T26" s="139"/>
      <c r="U26" s="139"/>
      <c r="V26" s="139"/>
      <c r="W26" s="139"/>
      <c r="X26" s="139"/>
      <c r="Y26" s="139"/>
      <c r="Z26" s="139"/>
      <c r="AA26" s="139"/>
      <c r="AB26" s="139"/>
    </row>
    <row r="27" spans="1:28" s="140" customFormat="1" ht="15.75" customHeight="1" thickTop="1">
      <c r="A27" s="130" t="s">
        <v>185</v>
      </c>
      <c r="B27" s="197" t="s">
        <v>215</v>
      </c>
      <c r="C27" s="197" t="s">
        <v>226</v>
      </c>
      <c r="D27" s="130">
        <f t="shared" si="1"/>
        <v>3</v>
      </c>
      <c r="E27" s="130" t="s">
        <v>59</v>
      </c>
      <c r="F27" s="130" t="s">
        <v>216</v>
      </c>
      <c r="G27" s="131" t="s">
        <v>260</v>
      </c>
      <c r="H27" s="130" t="s">
        <v>217</v>
      </c>
      <c r="I27" s="130" t="s">
        <v>69</v>
      </c>
      <c r="J27" s="330" t="s">
        <v>70</v>
      </c>
      <c r="K27" s="311">
        <v>85</v>
      </c>
      <c r="L27" s="139"/>
      <c r="M27" s="351" t="s">
        <v>425</v>
      </c>
      <c r="N27" s="179" t="s">
        <v>116</v>
      </c>
      <c r="O27" s="40" t="s">
        <v>341</v>
      </c>
      <c r="P27" s="43">
        <f t="shared" ref="P27" si="6">SUMIFS(K:K, A:A, O27, J:J, "&lt;&gt;ANNULLATO")</f>
        <v>60</v>
      </c>
      <c r="Q27" s="45">
        <f t="shared" si="2"/>
        <v>1</v>
      </c>
      <c r="R27" s="43">
        <f t="shared" si="3"/>
        <v>60</v>
      </c>
      <c r="S27" s="46">
        <f t="shared" ref="S27" si="7">P27/6</f>
        <v>10</v>
      </c>
      <c r="T27" s="139"/>
      <c r="U27" s="139"/>
      <c r="V27" s="139"/>
      <c r="W27" s="139"/>
      <c r="X27" s="139"/>
      <c r="Y27" s="139"/>
      <c r="Z27" s="139"/>
      <c r="AA27" s="139"/>
      <c r="AB27" s="139"/>
    </row>
    <row r="28" spans="1:28" s="140" customFormat="1" ht="15.75" customHeight="1" thickBot="1">
      <c r="A28" s="132" t="s">
        <v>185</v>
      </c>
      <c r="B28" s="198" t="s">
        <v>236</v>
      </c>
      <c r="C28" s="198" t="s">
        <v>235</v>
      </c>
      <c r="D28" s="132">
        <f t="shared" si="1"/>
        <v>6</v>
      </c>
      <c r="E28" s="132" t="s">
        <v>59</v>
      </c>
      <c r="F28" s="132" t="s">
        <v>222</v>
      </c>
      <c r="G28" s="133" t="s">
        <v>259</v>
      </c>
      <c r="H28" s="132" t="s">
        <v>223</v>
      </c>
      <c r="I28" s="132" t="s">
        <v>69</v>
      </c>
      <c r="J28" s="331" t="s">
        <v>70</v>
      </c>
      <c r="K28" s="312">
        <v>52</v>
      </c>
      <c r="L28" s="139"/>
      <c r="M28" s="349"/>
      <c r="N28" s="181" t="s">
        <v>120</v>
      </c>
      <c r="O28" s="36" t="s">
        <v>380</v>
      </c>
      <c r="P28" s="44"/>
      <c r="Q28" s="47"/>
      <c r="R28" s="48"/>
      <c r="S28" s="49"/>
      <c r="T28" s="139"/>
      <c r="U28" s="139"/>
      <c r="V28" s="139"/>
      <c r="W28" s="139"/>
      <c r="X28" s="139"/>
      <c r="Y28" s="139"/>
      <c r="Z28" s="139"/>
      <c r="AA28" s="139"/>
      <c r="AB28" s="139"/>
    </row>
    <row r="29" spans="1:28" s="140" customFormat="1" ht="15.75" customHeight="1" thickTop="1" thickBot="1">
      <c r="A29" s="292" t="s">
        <v>187</v>
      </c>
      <c r="B29" s="293" t="s">
        <v>243</v>
      </c>
      <c r="C29" s="293" t="s">
        <v>242</v>
      </c>
      <c r="D29" s="292">
        <f t="shared" si="1"/>
        <v>59</v>
      </c>
      <c r="E29" s="292" t="s">
        <v>59</v>
      </c>
      <c r="F29" s="292" t="s">
        <v>60</v>
      </c>
      <c r="G29" s="292" t="s">
        <v>419</v>
      </c>
      <c r="H29" s="292" t="s">
        <v>61</v>
      </c>
      <c r="I29" s="292" t="s">
        <v>62</v>
      </c>
      <c r="J29" s="294" t="s">
        <v>244</v>
      </c>
      <c r="K29" s="313">
        <v>8</v>
      </c>
      <c r="L29" s="139"/>
      <c r="M29" s="349"/>
      <c r="N29" s="182" t="s">
        <v>126</v>
      </c>
      <c r="O29" s="37" t="s">
        <v>381</v>
      </c>
      <c r="P29" s="51"/>
      <c r="Q29" s="52"/>
      <c r="R29" s="53"/>
      <c r="S29" s="54"/>
      <c r="T29" s="139"/>
      <c r="U29" s="139"/>
      <c r="V29" s="139"/>
      <c r="W29" s="139"/>
      <c r="X29" s="139"/>
      <c r="Y29" s="139"/>
      <c r="Z29" s="139"/>
      <c r="AA29" s="139"/>
      <c r="AB29" s="139"/>
    </row>
    <row r="30" spans="1:28" s="140" customFormat="1" ht="15.75" customHeight="1" thickTop="1" thickBot="1">
      <c r="A30" s="134" t="s">
        <v>188</v>
      </c>
      <c r="B30" s="199" t="s">
        <v>251</v>
      </c>
      <c r="C30" s="199" t="s">
        <v>342</v>
      </c>
      <c r="D30" s="135">
        <f t="shared" si="1"/>
        <v>7</v>
      </c>
      <c r="E30" s="135" t="s">
        <v>59</v>
      </c>
      <c r="F30" s="135" t="s">
        <v>253</v>
      </c>
      <c r="G30" s="136" t="s">
        <v>258</v>
      </c>
      <c r="H30" s="135" t="s">
        <v>252</v>
      </c>
      <c r="I30" s="135" t="s">
        <v>77</v>
      </c>
      <c r="J30" s="332" t="s">
        <v>70</v>
      </c>
      <c r="K30" s="314">
        <v>58</v>
      </c>
      <c r="L30" s="139"/>
      <c r="M30" s="349"/>
      <c r="N30" s="181" t="s">
        <v>131</v>
      </c>
      <c r="O30" s="38" t="s">
        <v>382</v>
      </c>
      <c r="P30" s="48"/>
      <c r="Q30" s="47"/>
      <c r="R30" s="48"/>
      <c r="S30" s="49"/>
      <c r="T30" s="139"/>
      <c r="U30" s="139"/>
      <c r="V30" s="139"/>
      <c r="W30" s="139"/>
      <c r="X30" s="139"/>
      <c r="Y30" s="139"/>
      <c r="Z30" s="139"/>
      <c r="AA30" s="139"/>
      <c r="AB30" s="139"/>
    </row>
    <row r="31" spans="1:28" ht="15.75" customHeight="1" thickTop="1" thickBot="1">
      <c r="A31" s="135" t="s">
        <v>341</v>
      </c>
      <c r="B31" s="260" t="s">
        <v>342</v>
      </c>
      <c r="C31" s="260" t="s">
        <v>383</v>
      </c>
      <c r="D31" s="261">
        <f t="shared" si="1"/>
        <v>6</v>
      </c>
      <c r="E31" s="261" t="s">
        <v>59</v>
      </c>
      <c r="F31" s="261" t="s">
        <v>343</v>
      </c>
      <c r="G31" s="136" t="s">
        <v>258</v>
      </c>
      <c r="H31" s="261" t="s">
        <v>344</v>
      </c>
      <c r="I31" s="261" t="s">
        <v>77</v>
      </c>
      <c r="J31" s="333" t="s">
        <v>70</v>
      </c>
      <c r="K31" s="314">
        <v>60</v>
      </c>
      <c r="L31" s="6"/>
      <c r="M31" s="350"/>
      <c r="N31" s="183" t="s">
        <v>136</v>
      </c>
      <c r="O31" s="259" t="s">
        <v>372</v>
      </c>
      <c r="P31" s="185">
        <f t="shared" ref="P31:P32" si="8">SUMIFS(K:K, A:A, O31, J:J, "&lt;&gt;ANNULLATO")</f>
        <v>23.990000000000002</v>
      </c>
      <c r="Q31" s="186">
        <f>COUNTIFS(A:A, O31, J:J, "&lt;&gt;ANNULLATO")</f>
        <v>3</v>
      </c>
      <c r="R31" s="185">
        <f t="shared" ref="R31:R32" si="9">P31/Q31</f>
        <v>7.996666666666667</v>
      </c>
      <c r="S31" s="187">
        <f t="shared" ref="S31:S32" si="10">P31/6</f>
        <v>3.9983333333333335</v>
      </c>
      <c r="T31" s="6"/>
      <c r="U31" s="6"/>
      <c r="V31" s="6"/>
      <c r="W31" s="6"/>
      <c r="X31" s="6"/>
      <c r="Y31" s="6"/>
      <c r="Z31" s="6"/>
      <c r="AA31" s="6"/>
      <c r="AB31" s="6"/>
    </row>
    <row r="32" spans="1:28" ht="15.75" customHeight="1" thickTop="1">
      <c r="A32" s="262" t="s">
        <v>372</v>
      </c>
      <c r="B32" s="255" t="s">
        <v>373</v>
      </c>
      <c r="C32" s="251" t="s">
        <v>401</v>
      </c>
      <c r="D32" s="251">
        <f t="shared" si="1"/>
        <v>2</v>
      </c>
      <c r="E32" s="255" t="s">
        <v>59</v>
      </c>
      <c r="F32" s="255" t="s">
        <v>375</v>
      </c>
      <c r="G32" s="272" t="s">
        <v>416</v>
      </c>
      <c r="H32" s="255" t="s">
        <v>374</v>
      </c>
      <c r="I32" s="255" t="s">
        <v>101</v>
      </c>
      <c r="J32" s="334" t="s">
        <v>70</v>
      </c>
      <c r="K32" s="315">
        <v>7</v>
      </c>
      <c r="L32" s="6"/>
      <c r="M32" s="351" t="s">
        <v>426</v>
      </c>
      <c r="N32" s="179" t="s">
        <v>116</v>
      </c>
      <c r="O32" s="40" t="s">
        <v>420</v>
      </c>
      <c r="P32" s="43"/>
      <c r="Q32" s="45"/>
      <c r="R32" s="43"/>
      <c r="S32" s="46"/>
      <c r="T32" s="6"/>
      <c r="U32" s="6"/>
      <c r="V32" s="6"/>
      <c r="W32" s="6"/>
      <c r="X32" s="6"/>
      <c r="Y32" s="6"/>
      <c r="Z32" s="6"/>
      <c r="AA32" s="6"/>
      <c r="AB32" s="6"/>
    </row>
    <row r="33" spans="1:28" ht="15.75" customHeight="1">
      <c r="A33" s="264" t="s">
        <v>372</v>
      </c>
      <c r="B33" s="47" t="s">
        <v>378</v>
      </c>
      <c r="C33" s="263" t="s">
        <v>414</v>
      </c>
      <c r="D33" s="263">
        <f t="shared" si="1"/>
        <v>6</v>
      </c>
      <c r="E33" s="47" t="s">
        <v>59</v>
      </c>
      <c r="F33" s="47" t="s">
        <v>377</v>
      </c>
      <c r="G33" s="271" t="s">
        <v>379</v>
      </c>
      <c r="H33" s="47" t="s">
        <v>376</v>
      </c>
      <c r="I33" s="47" t="s">
        <v>77</v>
      </c>
      <c r="J33" s="335" t="s">
        <v>70</v>
      </c>
      <c r="K33" s="316">
        <v>7</v>
      </c>
      <c r="L33" s="6"/>
      <c r="M33" s="349"/>
      <c r="N33" s="181" t="s">
        <v>120</v>
      </c>
      <c r="O33" s="36" t="s">
        <v>421</v>
      </c>
      <c r="P33" s="44"/>
      <c r="Q33" s="47"/>
      <c r="R33" s="48"/>
      <c r="S33" s="49"/>
      <c r="T33" s="6"/>
      <c r="U33" s="6"/>
      <c r="V33" s="6"/>
      <c r="W33" s="6"/>
      <c r="X33" s="6"/>
      <c r="Y33" s="6"/>
      <c r="Z33" s="6"/>
      <c r="AA33" s="6"/>
      <c r="AB33" s="6"/>
    </row>
    <row r="34" spans="1:28" ht="15.75" customHeight="1" thickBot="1">
      <c r="A34" s="225" t="s">
        <v>372</v>
      </c>
      <c r="B34" s="273" t="s">
        <v>400</v>
      </c>
      <c r="C34" s="274" t="s">
        <v>418</v>
      </c>
      <c r="D34" s="273">
        <f t="shared" si="1"/>
        <v>5</v>
      </c>
      <c r="E34" s="274" t="s">
        <v>59</v>
      </c>
      <c r="F34" s="274" t="s">
        <v>403</v>
      </c>
      <c r="G34" s="275" t="s">
        <v>417</v>
      </c>
      <c r="H34" s="274" t="s">
        <v>402</v>
      </c>
      <c r="I34" s="276" t="s">
        <v>62</v>
      </c>
      <c r="J34" s="336" t="s">
        <v>70</v>
      </c>
      <c r="K34" s="317">
        <v>9.99</v>
      </c>
      <c r="L34" s="6"/>
      <c r="M34" s="349"/>
      <c r="N34" s="182" t="s">
        <v>126</v>
      </c>
      <c r="O34" s="37" t="s">
        <v>422</v>
      </c>
      <c r="P34" s="51"/>
      <c r="Q34" s="52"/>
      <c r="R34" s="53"/>
      <c r="S34" s="54"/>
      <c r="T34" s="6"/>
      <c r="U34" s="6"/>
      <c r="V34" s="6"/>
      <c r="W34" s="6"/>
      <c r="X34" s="6"/>
      <c r="Y34" s="6"/>
      <c r="Z34" s="6"/>
      <c r="AA34" s="6"/>
      <c r="AB34" s="6"/>
    </row>
    <row r="35" spans="1:28" ht="15.75" customHeight="1" thickTop="1">
      <c r="B35" s="6"/>
      <c r="C35" s="6"/>
      <c r="D35" s="6"/>
      <c r="E35" s="6"/>
      <c r="F35" s="6"/>
      <c r="G35" s="109"/>
      <c r="H35" s="6"/>
      <c r="I35" s="6"/>
      <c r="J35" s="6"/>
      <c r="K35" s="6"/>
      <c r="L35" s="6"/>
      <c r="M35" s="349"/>
      <c r="N35" s="181" t="s">
        <v>131</v>
      </c>
      <c r="O35" s="38" t="s">
        <v>427</v>
      </c>
      <c r="P35" s="48"/>
      <c r="Q35" s="47"/>
      <c r="R35" s="48"/>
      <c r="S35" s="49"/>
      <c r="T35" s="6"/>
      <c r="U35" s="6"/>
      <c r="V35" s="6"/>
      <c r="W35" s="6"/>
      <c r="X35" s="6"/>
      <c r="Y35" s="6"/>
      <c r="Z35" s="6"/>
      <c r="AA35" s="6"/>
      <c r="AB35" s="6"/>
    </row>
    <row r="36" spans="1:28" ht="15.75" customHeight="1" thickBot="1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350"/>
      <c r="N36" s="183" t="s">
        <v>136</v>
      </c>
      <c r="O36" s="421"/>
      <c r="P36" s="185"/>
      <c r="Q36" s="186"/>
      <c r="R36" s="185"/>
      <c r="S36" s="187"/>
      <c r="T36" s="6"/>
      <c r="U36" s="6"/>
      <c r="V36" s="6"/>
      <c r="W36" s="6"/>
      <c r="X36" s="6"/>
      <c r="Y36" s="6"/>
      <c r="Z36" s="6"/>
      <c r="AA36" s="6"/>
      <c r="AB36" s="6"/>
    </row>
    <row r="37" spans="1:28" ht="15.75" customHeight="1" thickTop="1" thickBot="1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188"/>
      <c r="N37" s="189">
        <f>COUNTA(N17:N31)</f>
        <v>15</v>
      </c>
      <c r="O37" s="277">
        <v>90</v>
      </c>
      <c r="P37" s="191">
        <f>SUM(P17:P31)</f>
        <v>655.53</v>
      </c>
      <c r="Q37" s="190">
        <f>SUM(Q17:Q31)</f>
        <v>31</v>
      </c>
      <c r="R37" s="191">
        <f>P37/Q37</f>
        <v>21.146129032258063</v>
      </c>
      <c r="S37" s="192">
        <f>P37/O37</f>
        <v>7.2836666666666661</v>
      </c>
      <c r="T37" s="6"/>
      <c r="U37" s="6"/>
      <c r="V37" s="6"/>
      <c r="W37" s="6"/>
      <c r="X37" s="6"/>
      <c r="Y37" s="6"/>
      <c r="Z37" s="6"/>
      <c r="AA37" s="6"/>
      <c r="AB37" s="6"/>
    </row>
    <row r="38" spans="1:28" ht="15.75" customHeight="1" thickTop="1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139"/>
      <c r="N38" s="139"/>
      <c r="O38" s="139"/>
      <c r="P38" s="139"/>
      <c r="Q38" s="139"/>
      <c r="R38" s="139"/>
      <c r="S38" s="139"/>
      <c r="T38" s="6"/>
      <c r="U38" s="6"/>
      <c r="V38" s="6"/>
      <c r="W38" s="6"/>
      <c r="X38" s="6"/>
      <c r="Y38" s="6"/>
      <c r="Z38" s="6"/>
      <c r="AA38" s="6"/>
      <c r="AB38" s="6"/>
    </row>
    <row r="39" spans="1:28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139"/>
      <c r="N39" s="139"/>
      <c r="O39" s="139"/>
      <c r="P39" s="139"/>
      <c r="Q39" s="139"/>
      <c r="R39" s="139"/>
      <c r="S39" s="139"/>
      <c r="T39" s="6"/>
      <c r="U39" s="6"/>
      <c r="V39" s="6"/>
      <c r="W39" s="6"/>
      <c r="X39" s="6"/>
      <c r="Y39" s="6"/>
      <c r="Z39" s="6"/>
      <c r="AA39" s="6"/>
      <c r="AB39" s="6"/>
    </row>
    <row r="40" spans="1:28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139"/>
      <c r="N40" s="139"/>
      <c r="O40" s="139"/>
      <c r="P40" s="139"/>
      <c r="Q40" s="139"/>
      <c r="R40" s="139"/>
      <c r="S40" s="139"/>
      <c r="T40" s="6"/>
      <c r="U40" s="6"/>
      <c r="V40" s="6"/>
      <c r="W40" s="6"/>
      <c r="X40" s="6"/>
      <c r="Y40" s="6"/>
      <c r="Z40" s="6"/>
      <c r="AA40" s="6"/>
      <c r="AB40" s="6"/>
    </row>
    <row r="41" spans="1:28" ht="15.75" customHeight="1">
      <c r="B41" s="6"/>
      <c r="C41" s="6"/>
      <c r="D41" s="6"/>
      <c r="E41" s="6"/>
      <c r="F41" s="6"/>
      <c r="G41" s="6"/>
      <c r="H41" s="6"/>
      <c r="I41" s="323"/>
      <c r="J41" s="6"/>
      <c r="K41" s="6"/>
      <c r="L41" s="6"/>
      <c r="M41" s="139"/>
      <c r="N41" s="139"/>
      <c r="O41" s="139"/>
      <c r="P41" s="139"/>
      <c r="Q41" s="139"/>
      <c r="R41" s="139"/>
      <c r="S41" s="139"/>
      <c r="T41" s="6"/>
      <c r="U41" s="6"/>
      <c r="V41" s="6"/>
      <c r="W41" s="6"/>
      <c r="X41" s="6"/>
      <c r="Y41" s="6"/>
      <c r="Z41" s="6"/>
      <c r="AA41" s="6"/>
      <c r="AB41" s="6"/>
    </row>
    <row r="42" spans="1:28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290" t="s">
        <v>404</v>
      </c>
      <c r="P42" s="290" t="s">
        <v>405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290" t="s">
        <v>385</v>
      </c>
      <c r="O43" s="265">
        <f>O13- 86.5</f>
        <v>551.03</v>
      </c>
      <c r="P43" s="265">
        <f>O43-O8</f>
        <v>551.03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290" t="s">
        <v>384</v>
      </c>
      <c r="O44" s="265">
        <f>O43-400</f>
        <v>151.02999999999997</v>
      </c>
      <c r="P44" s="265">
        <f>O44-O8</f>
        <v>151.02999999999997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110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2:28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2:28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2:28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2:28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2:28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2:28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2:28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2:28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2:28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2:2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2:28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2:28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2:28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2:28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2:28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2:28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2:28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2:28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2:28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2:2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2:28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2:28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2:28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2:28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2:28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2:28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2:28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2:28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2:28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2:2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2:28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2:28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2:28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2:28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2:28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2:28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2:28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2:28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2:28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2:2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2:28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2:28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2:28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2:28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2:28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2:28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2:28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2:28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2:28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2:2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2:28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2:28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2:28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2:28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2:28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2:28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2:28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2:28" ht="15.75" customHeight="1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2:28" ht="15.75" customHeight="1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2:28" ht="15.75" customHeight="1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2:28" ht="15.75" customHeight="1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2:28" ht="15.75" customHeight="1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2:28" ht="15.75" customHeight="1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2:28" ht="15.75" customHeight="1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2:28" ht="15.75" customHeight="1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2:28" ht="15.75" customHeight="1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2:28" ht="15.75" customHeight="1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2:28" ht="15.75" customHeight="1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2:28" ht="15.75" customHeight="1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2:28" ht="15.75" customHeight="1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2:28" ht="15.75" customHeight="1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2:28" ht="15.75" customHeight="1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2:28" ht="15.75" customHeight="1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2:28" ht="15.75" customHeight="1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2:28" ht="15.75" customHeight="1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2:28" ht="15.75" customHeight="1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2:28" ht="15.75" customHeight="1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2:28" ht="15.75" customHeight="1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2:28" ht="15.75" customHeight="1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2:28" ht="15.75" customHeight="1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2:28" ht="15.75" customHeight="1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2:28" ht="15.75" customHeight="1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2:28" ht="15.75" customHeight="1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2:28" ht="15.75" customHeight="1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2:28" ht="15.75" customHeight="1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2:28" ht="15.75" customHeight="1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2:28" ht="15.75" customHeight="1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2:28" ht="15.75" customHeight="1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2:28" ht="15.75" customHeight="1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2:28" ht="15.75" customHeight="1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2:28" ht="15.75" customHeight="1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2:28" ht="15.75" customHeight="1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2:28" ht="15.75" customHeight="1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2:28" ht="15.75" customHeight="1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2:28" ht="15.75" customHeight="1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2:28" ht="15.75" customHeight="1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2:28" ht="15.75" customHeight="1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2:28" ht="15.75" customHeight="1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2:28" ht="15.75" customHeight="1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2:28" ht="15.75" customHeight="1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2:28" ht="15.75" customHeight="1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2:28" ht="15.75" customHeight="1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2:28" ht="15.75" customHeight="1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2:28" ht="15.75" customHeight="1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2:28" ht="15.75" customHeight="1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2:28" ht="15.75" customHeight="1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2:28" ht="15.75" customHeight="1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2:28" ht="15.75" customHeight="1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2:28" ht="15.75" customHeight="1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2:28" ht="15.75" customHeight="1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2:28" ht="15.75" customHeight="1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2:28" ht="15.75" customHeight="1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2:28" ht="15.75" customHeight="1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2:28" ht="15.75" customHeight="1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2:28" ht="15.75" customHeight="1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2:28" ht="15.75" customHeight="1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2:28" ht="15.75" customHeight="1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2:28" ht="15.75" customHeight="1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2:28" ht="15.75" customHeight="1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2:28" ht="15.75" customHeight="1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2:28" ht="15.75" customHeight="1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2:28" ht="15.75" customHeight="1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2:28" ht="15.75" customHeight="1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2:28" ht="15.75" customHeight="1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2:28" ht="15.75" customHeight="1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2:28" ht="15.75" customHeight="1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2:28" ht="15.75" customHeight="1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2:28" ht="15.75" customHeight="1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2:28" ht="15.75" customHeight="1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2:28" ht="15.75" customHeight="1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2:28" ht="15.75" customHeight="1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2:28" ht="15.75" customHeight="1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2:28" ht="15.75" customHeight="1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2:28" ht="15.75" customHeight="1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2:28" ht="15.75" customHeight="1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2:28" ht="15.75" customHeight="1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2:28" ht="15.75" customHeight="1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2:28" ht="15.75" customHeight="1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2:28" ht="15.75" customHeight="1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2:28" ht="15.75" customHeight="1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2:28" ht="15.75" customHeight="1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2:28" ht="15.75" customHeight="1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2:28" ht="15.75" customHeight="1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2:28" ht="15.75" customHeight="1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2:28" ht="15.75" customHeight="1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2:28" ht="15.75" customHeight="1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2:28" ht="15.75" customHeight="1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2:28" ht="15.75" customHeight="1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2:28" ht="15.75" customHeight="1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2:28" ht="15.75" customHeight="1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2:28" ht="15.75" customHeight="1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2:28" ht="15.75" customHeight="1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2:28" ht="15.75" customHeight="1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2:28" ht="15.75" customHeight="1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2:28" ht="15.75" customHeight="1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2:28" ht="15.75" customHeight="1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2:28" ht="15.75" customHeight="1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2:28" ht="15.75" customHeight="1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2:28" ht="15.75" customHeight="1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2:28" ht="15.75" customHeight="1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2:28" ht="15.75" customHeight="1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2:28" ht="15.75" customHeight="1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2:28" ht="15.75" customHeight="1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2:28" ht="15.75" customHeight="1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2:28" ht="15.75" customHeight="1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2:28" ht="15.75" customHeight="1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2:28" ht="15.75" customHeight="1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2:28" ht="15.75" customHeight="1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2:28" ht="15.75" customHeight="1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2:28" ht="15.75" customHeight="1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2:28" ht="15.75" customHeight="1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2:28" ht="15.75" customHeight="1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2:28" ht="15.75" customHeight="1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2:28" ht="15.75" customHeight="1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2:28" ht="15.75" customHeight="1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2:28" ht="15.75" customHeight="1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2:28" ht="15.75" customHeight="1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2:28" ht="15.75" customHeight="1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2:28" ht="15.75" customHeight="1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2:28" ht="15.75" customHeight="1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2:28" ht="15.75" customHeight="1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2:28" ht="15.75" customHeight="1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2:28" ht="15.75" customHeight="1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2:28" ht="15.75" customHeight="1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2:28" ht="15.75" customHeight="1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2:28" ht="15.75" customHeight="1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2:28" ht="15.75" customHeight="1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2:28" ht="15.75" customHeight="1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2:28" ht="15.75" customHeight="1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2:28" ht="15.75" customHeight="1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2:28" ht="15.75" customHeight="1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2:28" ht="15.75" customHeight="1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2:28" ht="15.75" customHeight="1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2:28" ht="15.75" customHeight="1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2:28" ht="15.75" customHeight="1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2:28" ht="15.75" customHeight="1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2:28" ht="15.75" customHeight="1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2:28" ht="15.75" customHeight="1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2:28" ht="15.75" customHeight="1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2:28" ht="15.75" customHeight="1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2:28" ht="15.75" customHeight="1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2:28" ht="15.75" customHeight="1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2:28" ht="15.75" customHeight="1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2:28" ht="15.75" customHeight="1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2:28" ht="15.75" customHeight="1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2:28" ht="15.75" customHeight="1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2:28" ht="15.75" customHeight="1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2:28" ht="15.75" customHeight="1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2:28" ht="15.75" customHeight="1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2:28" ht="15.75" customHeight="1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2:28" ht="15.75" customHeight="1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2:28" ht="15.75" customHeight="1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2:28" ht="15.75" customHeight="1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2:28" ht="15.75" customHeight="1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2:28" ht="15.75" customHeight="1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2:28" ht="15.75" customHeight="1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2:28" ht="15.75" customHeight="1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2:28" ht="15.75" customHeight="1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2:28" ht="15.75" customHeight="1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2:28" ht="15.75" customHeight="1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2:28" ht="15.75" customHeight="1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2:28" ht="15.75" customHeight="1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2:28" ht="15.75" customHeight="1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2:28" ht="15.75" customHeight="1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2:28" ht="15.75" customHeight="1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2:28" ht="15.75" customHeight="1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2:28" ht="15.75" customHeight="1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2:28" ht="15.75" customHeight="1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2:28" ht="15.75" customHeight="1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2:28" ht="15.75" customHeight="1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2:28" ht="15.75" customHeight="1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2:28" ht="15.75" customHeight="1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2:28" ht="15.75" customHeight="1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2:28" ht="15.75" customHeight="1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2:28" ht="15.75" customHeight="1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2:28" ht="15.75" customHeight="1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2:28" ht="15.75" customHeight="1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2:28" ht="15.75" customHeight="1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2:28" ht="15.75" customHeight="1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2:28" ht="15.75" customHeight="1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2:28" ht="15.75" customHeight="1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2:28" ht="15.75" customHeight="1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2:28" ht="15.75" customHeight="1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2:28" ht="15.75" customHeight="1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2:28" ht="15.75" customHeight="1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2:28" ht="15.75" customHeight="1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2:28" ht="15.75" customHeight="1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2:28" ht="15.75" customHeight="1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2:28" ht="15.75" customHeight="1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2:28" ht="15.75" customHeight="1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2:28" ht="15.75" customHeight="1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2:28" ht="15.75" customHeight="1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2:28" ht="15.75" customHeight="1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2:28" ht="15.75" customHeight="1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2:28" ht="15.75" customHeight="1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2:28" ht="15.75" customHeight="1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2:28" ht="15.75" customHeight="1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2:28" ht="15.75" customHeight="1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2:28" ht="15.75" customHeight="1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2:28" ht="15.75" customHeight="1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2:28" ht="15.75" customHeight="1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2:28" ht="15.75" customHeight="1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2:28" ht="15.75" customHeight="1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2:28" ht="15.75" customHeight="1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2:28" ht="15.75" customHeight="1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2:28" ht="15.75" customHeight="1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2:28" ht="15.75" customHeight="1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2:28" ht="15.75" customHeight="1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2:28" ht="15.75" customHeight="1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2:28" ht="15.75" customHeight="1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2:28" ht="15.75" customHeight="1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2:28" ht="15.75" customHeight="1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2:28" ht="15.75" customHeight="1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2:28" ht="15.75" customHeight="1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2:28" ht="15.75" customHeight="1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2:28" ht="15.75" customHeight="1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2:28" ht="15.75" customHeight="1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2:28" ht="15.75" customHeight="1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2:28" ht="15.75" customHeight="1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2:28" ht="15.75" customHeight="1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2:28" ht="15.75" customHeight="1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2:28" ht="15.75" customHeight="1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2:28" ht="15.75" customHeight="1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2:28" ht="15.75" customHeight="1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2:28" ht="15.75" customHeight="1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2:28" ht="15.75" customHeight="1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2:28" ht="15.75" customHeight="1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2:28" ht="15.75" customHeight="1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2:28" ht="15.75" customHeight="1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2:28" ht="15.75" customHeight="1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2:28" ht="15.75" customHeight="1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2:28" ht="15.75" customHeight="1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2:28" ht="15.75" customHeight="1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2:28" ht="15.75" customHeight="1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2:28" ht="15.75" customHeight="1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2:28" ht="15.75" customHeight="1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2:28" ht="15.75" customHeight="1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2:28" ht="15.75" customHeight="1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2:28" ht="15.75" customHeight="1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2:28" ht="15.75" customHeight="1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2:28" ht="15.75" customHeight="1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2:28" ht="15.75" customHeight="1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2:28" ht="15.75" customHeight="1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2:28" ht="15.75" customHeight="1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2:28" ht="15.75" customHeight="1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2:28" ht="15.75" customHeight="1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2:28" ht="15.75" customHeight="1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2:28" ht="15.75" customHeight="1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2:28" ht="15.75" customHeight="1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2:28" ht="15.75" customHeight="1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2:28" ht="15.75" customHeight="1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2:28" ht="15.75" customHeight="1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2:28" ht="15.75" customHeight="1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2:28" ht="15.75" customHeight="1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2:28" ht="15.75" customHeight="1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2:28" ht="15.75" customHeight="1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2:28" ht="15.75" customHeight="1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2:28" ht="15.75" customHeight="1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2:28" ht="15.75" customHeight="1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2:28" ht="15.75" customHeight="1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2:28" ht="15.75" customHeight="1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2:28" ht="15.75" customHeight="1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2:28" ht="15.75" customHeight="1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2:28" ht="15.75" customHeight="1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2:28" ht="15.75" customHeight="1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2:28" ht="15.75" customHeight="1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2:28" ht="15.75" customHeight="1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2:28" ht="15.75" customHeight="1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2:28" ht="15.75" customHeight="1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2:28" ht="15.75" customHeight="1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2:28" ht="15.75" customHeight="1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2:28" ht="15.75" customHeight="1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2:28" ht="15.75" customHeight="1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2:28" ht="15.75" customHeight="1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2:28" ht="15.75" customHeight="1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2:28" ht="15.75" customHeight="1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2:28" ht="15.75" customHeight="1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2:28" ht="15.75" customHeight="1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2:28" ht="15.75" customHeight="1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2:28" ht="15.75" customHeight="1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2:28" ht="15.75" customHeight="1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2:28" ht="15.75" customHeight="1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2:28" ht="15.75" customHeight="1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2:28" ht="15.75" customHeight="1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2:28" ht="15.75" customHeight="1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2:28" ht="15.75" customHeight="1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2:28" ht="15.75" customHeight="1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2:28" ht="15.75" customHeight="1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2:28" ht="15.75" customHeight="1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2:28" ht="15.75" customHeight="1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2:28" ht="15.75" customHeight="1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2:28" ht="15.75" customHeight="1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2:28" ht="15.75" customHeight="1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2:28" ht="15.75" customHeight="1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2:28" ht="15.75" customHeight="1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2:28" ht="15.75" customHeight="1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2:28" ht="15.75" customHeight="1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2:28" ht="15.75" customHeight="1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2:28" ht="15.75" customHeight="1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2:28" ht="15.75" customHeight="1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2:28" ht="15.75" customHeight="1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2:28" ht="15.75" customHeight="1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2:28" ht="15.75" customHeight="1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2:28" ht="15.75" customHeight="1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2:28" ht="15.75" customHeight="1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2:28" ht="15.75" customHeight="1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2:28" ht="15.75" customHeight="1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2:28" ht="15.75" customHeight="1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2:28" ht="15.75" customHeight="1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2:28" ht="15.75" customHeight="1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2:28" ht="15.75" customHeight="1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2:28" ht="15.75" customHeight="1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2:28" ht="15.75" customHeight="1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2:28" ht="15.75" customHeight="1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2:28" ht="15.75" customHeight="1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2:28" ht="15.75" customHeight="1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2:28" ht="15.75" customHeight="1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2:28" ht="15.75" customHeight="1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2:28" ht="15.75" customHeight="1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2:28" ht="15.75" customHeight="1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2:28" ht="15.75" customHeight="1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2:28" ht="15.75" customHeight="1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2:28" ht="15.75" customHeight="1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2:28" ht="15.75" customHeight="1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2:28" ht="15.75" customHeight="1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2:28" ht="15.75" customHeight="1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2:28" ht="15.75" customHeight="1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2:28" ht="15.75" customHeight="1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2:28" ht="15.75" customHeight="1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2:28" ht="15.75" customHeight="1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2:28" ht="15.75" customHeight="1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2:28" ht="15.75" customHeight="1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2:28" ht="15.75" customHeight="1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2:28" ht="15.75" customHeight="1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2:28" ht="15.75" customHeight="1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2:28" ht="15.75" customHeight="1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2:28" ht="15.75" customHeight="1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2:28" ht="15.75" customHeight="1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2:28" ht="15.75" customHeight="1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2:28" ht="15.75" customHeight="1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2:28" ht="15.75" customHeight="1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2:28" ht="15.75" customHeight="1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2:28" ht="15.75" customHeight="1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2:28" ht="15.75" customHeight="1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2:28" ht="15.75" customHeight="1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2:28" ht="15.75" customHeight="1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2:28" ht="15.75" customHeight="1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2:28" ht="15.75" customHeight="1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2:28" ht="15.75" customHeight="1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2:28" ht="15.75" customHeight="1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2:28" ht="15.75" customHeight="1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2:28" ht="15.75" customHeight="1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2:28" ht="15.75" customHeight="1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2:28" ht="15.75" customHeight="1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2:28" ht="15.75" customHeight="1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2:28" ht="15.75" customHeight="1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2:28" ht="15.75" customHeight="1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2:28" ht="15.75" customHeight="1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2:28" ht="15.75" customHeight="1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2:28" ht="15.75" customHeight="1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2:28" ht="15.75" customHeight="1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2:28" ht="15.75" customHeight="1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2:28" ht="15.75" customHeight="1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2:28" ht="15.75" customHeight="1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2:28" ht="15.75" customHeight="1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2:28" ht="15.75" customHeight="1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2:28" ht="15.75" customHeight="1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2:28" ht="15.75" customHeight="1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2:28" ht="15.75" customHeight="1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2:28" ht="15.75" customHeight="1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2:28" ht="15.75" customHeight="1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2:28" ht="15.75" customHeight="1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2:28" ht="15.75" customHeight="1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2:28" ht="15.75" customHeight="1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2:28" ht="15.75" customHeight="1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2:28" ht="15.75" customHeight="1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2:28" ht="15.75" customHeight="1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2:28" ht="15.75" customHeight="1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2:28" ht="15.75" customHeight="1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2:28" ht="15.75" customHeight="1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2:28" ht="15.75" customHeight="1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2:28" ht="15.75" customHeight="1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2:28" ht="15.75" customHeight="1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2:28" ht="15.75" customHeight="1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2:28" ht="15.75" customHeight="1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2:28" ht="15.75" customHeight="1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2:28" ht="15.75" customHeight="1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2:28" ht="15.75" customHeight="1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2:28" ht="15.75" customHeight="1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2:28" ht="15.75" customHeight="1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2:28" ht="15.75" customHeight="1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2:28" ht="15.75" customHeight="1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2:28" ht="15.75" customHeight="1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2:28" ht="15.75" customHeight="1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2:28" ht="15.75" customHeight="1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2:28" ht="15.75" customHeight="1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2:28" ht="15.75" customHeight="1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2:28" ht="15.75" customHeight="1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2:28" ht="15.75" customHeight="1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2:28" ht="15.75" customHeight="1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2:28" ht="15.75" customHeight="1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2:28" ht="15.75" customHeight="1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2:28" ht="15.75" customHeight="1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2:28" ht="15.75" customHeight="1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2:28" ht="15.75" customHeight="1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2:28" ht="15.75" customHeight="1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2:28" ht="15.75" customHeight="1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2:28" ht="15.75" customHeight="1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2:28" ht="15.75" customHeight="1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2:28" ht="15.75" customHeight="1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2:28" ht="15.75" customHeight="1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2:28" ht="15.75" customHeight="1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2:28" ht="15.75" customHeight="1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2:28" ht="15.75" customHeight="1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2:28" ht="15.75" customHeight="1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2:28" ht="15.75" customHeight="1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2:28" ht="15.75" customHeight="1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2:28" ht="15.75" customHeight="1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2:28" ht="15.75" customHeight="1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2:28" ht="15.75" customHeight="1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2:28" ht="15.75" customHeight="1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2:28" ht="15.75" customHeight="1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2:28" ht="15.75" customHeight="1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2:28" ht="15.75" customHeight="1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2:28" ht="15.75" customHeight="1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2:28" ht="15.75" customHeight="1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2:28" ht="15.75" customHeight="1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2:28" ht="15.75" customHeight="1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2:28" ht="15.75" customHeight="1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2:28" ht="15.75" customHeight="1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2:28" ht="15.75" customHeight="1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2:28" ht="15.75" customHeight="1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2:28" ht="15.75" customHeight="1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2:28" ht="15.75" customHeight="1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2:28" ht="15.75" customHeight="1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2:28" ht="15.75" customHeight="1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2:28" ht="15.75" customHeight="1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2:28" ht="15.75" customHeight="1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2:28" ht="15.75" customHeight="1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2:28" ht="15.75" customHeight="1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2:28" ht="15.75" customHeight="1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2:28" ht="15.75" customHeight="1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2:28" ht="15.75" customHeight="1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2:28" ht="15.75" customHeight="1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2:28" ht="15.75" customHeight="1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2:28" ht="15.75" customHeight="1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2:28" ht="15.75" customHeight="1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2:28" ht="15.75" customHeight="1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2:28" ht="15.75" customHeight="1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2:28" ht="15.75" customHeight="1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2:28" ht="15.75" customHeight="1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2:28" ht="15.75" customHeight="1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2:28" ht="15.75" customHeight="1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2:28" ht="15.75" customHeight="1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2:28" ht="15.75" customHeight="1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2:28" ht="15.75" customHeight="1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2:28" ht="15.75" customHeight="1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2:28" ht="15.75" customHeight="1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2:28" ht="15.75" customHeight="1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2:28" ht="15.75" customHeight="1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2:28" ht="15.75" customHeight="1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2:28" ht="15.75" customHeight="1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2:28" ht="15.75" customHeight="1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2:28" ht="15.75" customHeight="1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2:28" ht="15.75" customHeight="1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2:28" ht="15.75" customHeight="1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2:28" ht="15.75" customHeight="1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2:28" ht="15.75" customHeight="1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2:28" ht="15.75" customHeight="1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2:28" ht="15.75" customHeight="1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2:28" ht="15.75" customHeight="1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2:28" ht="15.75" customHeight="1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2:28" ht="15.75" customHeight="1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2:28" ht="15.75" customHeight="1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2:28" ht="15.75" customHeight="1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2:28" ht="15.75" customHeight="1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2:28" ht="15.75" customHeight="1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2:28" ht="15.75" customHeight="1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2:28" ht="15.75" customHeight="1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2:28" ht="15.75" customHeight="1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2:28" ht="15.75" customHeight="1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2:28" ht="15.75" customHeight="1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2:28" ht="15.75" customHeight="1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2:28" ht="15.75" customHeight="1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2:28" ht="15.75" customHeight="1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2:28" ht="15.75" customHeight="1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2:28" ht="15.75" customHeight="1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2:28" ht="15.75" customHeight="1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2:28" ht="15.75" customHeight="1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2:28" ht="15.75" customHeight="1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2:28" ht="15.75" customHeight="1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2:28" ht="15.75" customHeight="1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2:28" ht="15.75" customHeight="1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2:28" ht="15.75" customHeight="1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2:28" ht="15.75" customHeight="1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2:28" ht="15.75" customHeight="1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2:28" ht="15.75" customHeight="1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2:28" ht="15.75" customHeight="1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2:28" ht="15.75" customHeight="1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2:28" ht="15.75" customHeight="1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2:28" ht="15.75" customHeight="1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2:28" ht="15.75" customHeight="1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2:28" ht="15.75" customHeight="1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2:28" ht="15.75" customHeight="1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2:28" ht="15.75" customHeight="1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2:28" ht="15.75" customHeight="1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2:28" ht="15.75" customHeight="1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2:28" ht="15.75" customHeight="1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2:28" ht="15.75" customHeight="1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2:28" ht="15.75" customHeight="1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2:28" ht="15.75" customHeight="1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2:28" ht="15.75" customHeight="1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2:28" ht="15.75" customHeight="1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2:28" ht="15.75" customHeight="1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2:28" ht="15.75" customHeight="1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2:28" ht="15.75" customHeight="1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2:28" ht="15.75" customHeight="1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2:28" ht="15.75" customHeight="1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2:28" ht="15.75" customHeight="1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2:28" ht="15.75" customHeight="1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2:28" ht="15.75" customHeight="1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2:28" ht="15.75" customHeight="1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2:28" ht="15.75" customHeight="1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2:28" ht="15.75" customHeight="1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2:28" ht="15.75" customHeight="1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2:28" ht="15.75" customHeight="1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2:28" ht="15.75" customHeight="1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2:28" ht="15.75" customHeight="1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2:28" ht="15.75" customHeight="1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2:28" ht="15.75" customHeight="1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2:28" ht="15.75" customHeight="1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2:28" ht="15.75" customHeight="1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2:28" ht="15.75" customHeight="1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2:28" ht="15.75" customHeight="1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2:28" ht="15.75" customHeight="1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2:28" ht="15.75" customHeight="1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2:28" ht="15.75" customHeight="1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2:28" ht="15.75" customHeight="1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2:28" ht="15.75" customHeight="1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2:28" ht="15.75" customHeight="1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2:28" ht="15.75" customHeight="1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2:28" ht="15.75" customHeight="1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2:28" ht="15.75" customHeight="1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2:28" ht="15.75" customHeight="1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2:28" ht="15.75" customHeight="1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2:28" ht="15.75" customHeight="1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2:28" ht="15.75" customHeight="1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2:28" ht="15.75" customHeight="1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2:28" ht="15.75" customHeight="1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2:28" ht="15.75" customHeight="1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2:28" ht="15.75" customHeight="1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2:28" ht="15.75" customHeight="1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2:28" ht="15.75" customHeight="1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2:28" ht="15.75" customHeight="1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2:28" ht="15.75" customHeight="1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2:28" ht="15.75" customHeight="1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2:28" ht="15.75" customHeight="1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2:28" ht="15.75" customHeight="1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2:28" ht="15.75" customHeight="1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2:28" ht="15.75" customHeight="1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2:28" ht="15.75" customHeight="1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2:28" ht="15.75" customHeight="1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2:28" ht="15.75" customHeight="1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2:28" ht="15.75" customHeight="1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2:28" ht="15.75" customHeight="1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2:28" ht="15.75" customHeight="1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2:28" ht="15.75" customHeight="1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2:28" ht="15.75" customHeight="1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2:28" ht="15.75" customHeight="1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2:28" ht="15.75" customHeight="1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2:28" ht="15.75" customHeight="1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2:28" ht="15.75" customHeight="1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2:28" ht="15.75" customHeight="1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2:28" ht="15.75" customHeight="1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2:28" ht="15.75" customHeight="1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2:28" ht="15.75" customHeight="1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2:28" ht="15.75" customHeight="1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2:28" ht="15.75" customHeight="1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2:28" ht="15.75" customHeight="1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2:28" ht="15.75" customHeight="1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2:28" ht="15.75" customHeight="1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2:28" ht="15.75" customHeight="1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2:28" ht="15.75" customHeight="1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2:28" ht="15.75" customHeight="1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2:28" ht="15.75" customHeight="1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2:28" ht="15.75" customHeight="1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2:28" ht="15.75" customHeight="1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2:28" ht="15.75" customHeight="1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2:28" ht="15.75" customHeight="1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2:28" ht="15.75" customHeight="1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2:28" ht="15.75" customHeight="1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2:28" ht="15.75" customHeight="1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2:28" ht="15.75" customHeight="1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2:28" ht="15.75" customHeight="1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2:28" ht="15.75" customHeight="1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2:28" ht="15.75" customHeight="1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2:28" ht="15.75" customHeight="1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2:28" ht="15.75" customHeight="1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2:28" ht="15.75" customHeight="1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2:28" ht="15.75" customHeight="1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2:28" ht="15.75" customHeight="1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2:28" ht="15.75" customHeight="1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2:28" ht="15.75" customHeight="1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2:28" ht="15.75" customHeight="1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2:28" ht="15.75" customHeight="1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2:28" ht="15.75" customHeight="1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2:28" ht="15.75" customHeight="1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2:28" ht="15.75" customHeight="1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2:28" ht="15.75" customHeight="1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2:28" ht="15.75" customHeight="1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2:28" ht="15.75" customHeight="1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2:28" ht="15.75" customHeight="1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2:28" ht="15.75" customHeight="1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2:28" ht="15.75" customHeight="1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2:28" ht="15.75" customHeight="1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2:28" ht="15.75" customHeight="1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2:28" ht="15.75" customHeight="1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2:28" ht="15.75" customHeight="1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2:28" ht="15.75" customHeight="1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2:28" ht="15.75" customHeight="1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2:28" ht="15.75" customHeight="1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2:28" ht="15.75" customHeight="1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2:28" ht="15.75" customHeight="1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2:28" ht="15.75" customHeight="1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2:28" ht="15.75" customHeight="1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2:28" ht="15.75" customHeight="1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2:28" ht="15.75" customHeight="1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2:28" ht="15.75" customHeight="1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2:28" ht="15.75" customHeight="1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2:28" ht="15.75" customHeight="1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2:28" ht="15.75" customHeight="1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2:28" ht="15.75" customHeight="1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2:28" ht="15.75" customHeight="1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2:28" ht="15.75" customHeight="1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2:28" ht="15.75" customHeight="1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2:28" ht="15.75" customHeight="1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2:28" ht="15.75" customHeight="1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2:28" ht="15.75" customHeight="1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2:28" ht="15.75" customHeight="1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2:28" ht="15.75" customHeight="1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2:28" ht="15.75" customHeight="1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2:28" ht="15.75" customHeight="1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2:28" ht="15.75" customHeight="1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2:28" ht="15.75" customHeight="1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2:28" ht="15.75" customHeight="1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2:28" ht="15.75" customHeight="1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2:28" ht="15.75" customHeight="1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2:28" ht="15.75" customHeight="1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2:28" ht="15.75" customHeight="1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2:28" ht="15.75" customHeight="1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2:28" ht="15.75" customHeight="1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2:28" ht="15.75" customHeight="1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2:28" ht="15.75" customHeight="1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2:28" ht="15.75" customHeight="1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2:28" ht="15.75" customHeight="1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2:28" ht="15.75" customHeight="1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2:28" ht="15.75" customHeight="1"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2:28" ht="15.75" customHeight="1"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2:28" ht="15.75" customHeight="1"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2:28" ht="15.75" customHeight="1"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2:28" ht="15.75" customHeight="1"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2:28" ht="15.75" customHeight="1"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2:28" ht="15.75" customHeight="1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2:28" ht="15.75" customHeight="1"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2:28" ht="15.75" customHeight="1"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2:28" ht="15.75" customHeight="1"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2:28" ht="15.75" customHeight="1"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2:28" ht="15.75" customHeight="1"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2:28" ht="15.75" customHeight="1"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2:28" ht="15.75" customHeight="1"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2:28" ht="15.75" customHeight="1"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2:28" ht="15.75" customHeight="1"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2:28" ht="15.75" customHeight="1"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2:28" ht="15.75" customHeight="1"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2:28" ht="15.75" customHeight="1"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2:28" ht="15.75" customHeight="1"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2:28" ht="15.75" customHeight="1"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2:28" ht="15.75" customHeight="1"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2:28" ht="15.75" customHeight="1"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2:28" ht="15.75" customHeight="1"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2:28" ht="15.75" customHeight="1"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2:28" ht="15.75" customHeight="1"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2:28" ht="15.75" customHeight="1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2:28" ht="15.75" customHeight="1"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2:28" ht="15.75" customHeight="1"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2:28" ht="15.75" customHeight="1"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2:28" ht="15.75" customHeight="1"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2:28" ht="15.75" customHeight="1"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2:28" ht="15.75" customHeight="1"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2:28" ht="15.75" customHeight="1"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2:28" ht="15.75" customHeight="1"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2:28" ht="15.75" customHeight="1"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2:28" ht="15.75" customHeight="1"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2:28" ht="15.75" customHeight="1"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2:28" ht="15.75" customHeight="1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2:28" ht="15.75" customHeight="1"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2:28" ht="15.75" customHeight="1"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2:28" ht="15.75" customHeight="1"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2:28" ht="15.75" customHeight="1"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2:28" ht="15.75" customHeight="1"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2:28" ht="15.75" customHeight="1"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2:28" ht="15.75" customHeight="1"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2:28" ht="15.75" customHeight="1"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2:28" ht="15.75" customHeight="1"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2:28" ht="15.75" customHeight="1"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2:28" ht="15.75" customHeight="1"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2:28" ht="15.75" customHeight="1"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2:28" ht="15.75" customHeight="1"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2:28" ht="15.75" customHeight="1"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2:28" ht="15.75" customHeight="1"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2:28" ht="15.75" customHeight="1"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2:28" ht="15.75" customHeight="1"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2:28" ht="15.75" customHeight="1"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2:28" ht="15.75" customHeight="1"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2:28" ht="15.75" customHeight="1"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2:28" ht="15.75" customHeight="1"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2:28" ht="15.75" customHeight="1"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2:28" ht="15.75" customHeight="1"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2:28" ht="15.75" customHeight="1"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2:28" ht="15.75" customHeight="1"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2:28" ht="15.75" customHeight="1"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2:28" ht="15.75" customHeight="1"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2:28" ht="15.75" customHeight="1"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2:28" ht="15.75" customHeight="1"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2:28" ht="15.75" customHeight="1"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2:28" ht="15.75" customHeight="1"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2:28" ht="15.75" customHeight="1"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2:28" ht="15.75" customHeight="1"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2:28" ht="15.75" customHeight="1"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2:28" ht="15.75" customHeight="1"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2:28" ht="15.75" customHeight="1"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2:28" ht="15.75" customHeight="1"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2:28" ht="15.75" customHeight="1"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2:28" ht="15.75" customHeight="1"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2:28" ht="15.75" customHeight="1"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2:28" ht="15.75" customHeight="1"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2:28" ht="15.75" customHeight="1"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2:28" ht="15.75" customHeight="1"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2:28" ht="15.75" customHeight="1"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2:28" ht="15.75" customHeight="1"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2:28" ht="15.75" customHeight="1"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2:28" ht="15.75" customHeight="1"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2:28" ht="15.75" customHeight="1"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2:28" ht="15.75" customHeight="1"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2:28" ht="15.75" customHeight="1"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2:28" ht="15.75" customHeight="1"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2:28" ht="15.75" customHeight="1"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2:28" ht="15.75" customHeight="1"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2:28" ht="15.75" customHeight="1"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2:28" ht="15.75" customHeight="1"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2:28" ht="15.75" customHeight="1"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2:28" ht="15.75" customHeight="1"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2:28" ht="15.75" customHeight="1"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2:28" ht="15.75" customHeight="1"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2:28" ht="15.75" customHeight="1"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2:28" ht="15.75" customHeight="1"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2:28" ht="15.75" customHeight="1"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2:28" ht="15.75" customHeight="1"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2:28" ht="15.75" customHeight="1"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2:28" ht="15.75" customHeight="1"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2:28" ht="15.75" customHeight="1"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2:28" ht="15.75" customHeight="1"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2:28" ht="15.75" customHeight="1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2:28" ht="15.75" customHeight="1"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2:28" ht="15.75" customHeight="1"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2:28" ht="15.75" customHeight="1"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2:28" ht="15.75" customHeight="1"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2:28" ht="15.75" customHeight="1"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2:28" ht="15.75" customHeight="1"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2:28" ht="15.75" customHeight="1"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2:28" ht="15.75" customHeight="1"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2:28" ht="15.75" customHeight="1"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2:28" ht="15.75" customHeight="1"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2:28" ht="15.75" customHeight="1"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2:28" ht="15.75" customHeight="1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2:28" ht="15.75" customHeight="1"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2:28" ht="15.75" customHeight="1"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2:28" ht="15.75" customHeight="1"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2:28" ht="15.75" customHeight="1"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2:28" ht="15.75" customHeight="1"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2:28" ht="15.75" customHeight="1"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2:28" ht="15.75" customHeight="1"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2:28" ht="15.75" customHeight="1"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2:28" ht="15.75" customHeight="1"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2:28" ht="15.75" customHeight="1"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2:28" ht="15.75" customHeight="1"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2:28" ht="15.75" customHeight="1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2:28" ht="15.75" customHeight="1"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2:28" ht="15.75" customHeight="1"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2:28" ht="15.75" customHeight="1"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2:28" ht="15.75" customHeight="1"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2:28" ht="15.75" customHeight="1"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2:28" ht="15.75" customHeight="1"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2:28" ht="15.75" customHeight="1"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spans="2:28" ht="15.75" customHeight="1"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spans="2:28" ht="15.75" customHeight="1"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spans="2:28" ht="15.75" customHeight="1"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spans="2:28" ht="15.75" customHeight="1"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spans="2:28" ht="15.75" customHeight="1"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spans="2:28" ht="15.75" customHeight="1"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spans="2:28" ht="15.75" customHeight="1"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spans="2:28" ht="15.75" customHeight="1"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spans="2:28" ht="15.75" customHeight="1"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spans="2:28" ht="15.75" customHeight="1"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spans="2:28" ht="15.75" customHeight="1"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spans="2:28" ht="15.75" customHeight="1"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spans="2:28" ht="15.75" customHeight="1"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spans="2:28" ht="15.75" customHeight="1"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spans="2:28" ht="15.75" customHeight="1"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spans="2:28" ht="15.75" customHeight="1"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spans="2:28" ht="15.75" customHeight="1"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spans="2:28" ht="15.75" customHeight="1"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spans="2:28" ht="15.75" customHeight="1"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spans="2:28" ht="15.75" customHeight="1"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spans="2:28" ht="15.75" customHeight="1"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spans="2:28" ht="15.75" customHeight="1"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spans="2:28" ht="15.75" customHeight="1"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spans="2:28" ht="15.75" customHeight="1"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spans="2:28" ht="15.75" customHeight="1"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spans="2:28" ht="15.75" customHeight="1"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spans="2:28" ht="15.75" customHeight="1"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spans="2:28" ht="15.75" customHeight="1"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spans="2:28" ht="15.75" customHeight="1"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spans="2:28" ht="15.75" customHeight="1"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spans="2:28" ht="15.75" customHeight="1"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spans="2:28" ht="15.75" customHeight="1"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spans="2:28" ht="15.75" customHeight="1"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spans="2:28" ht="15.75" customHeight="1"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spans="2:28" ht="15.75" customHeight="1"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spans="2:28" ht="15.75" customHeight="1"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spans="2:28" ht="15.75" customHeight="1"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spans="2:28" ht="15.75" customHeight="1"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spans="2:28" ht="15.75" customHeight="1"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spans="2:28" ht="15.75" customHeight="1"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spans="2:28" ht="15.75" customHeight="1"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spans="2:28" ht="15.75" customHeight="1"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spans="2:28" ht="15.75" customHeight="1"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spans="2:28" ht="15.75" customHeight="1"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spans="2:28" ht="15.75" customHeight="1"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spans="2:28" ht="15.75" customHeight="1"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spans="2:28" ht="15.75" customHeight="1"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spans="2:28" ht="15.75" customHeight="1"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spans="2:28" ht="15.75" customHeight="1"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spans="2:28" ht="15.75" customHeight="1"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spans="2:28" ht="15.75" customHeight="1"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spans="2:28" ht="15.75" customHeight="1"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spans="2:28" ht="15.75" customHeight="1"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spans="2:28" ht="15.75" customHeight="1"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spans="2:28" ht="15.75" customHeight="1"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spans="2:28" ht="15.75" customHeight="1"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spans="2:28" ht="15.75" customHeight="1"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spans="2:28" ht="15.75" customHeight="1"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spans="2:28" ht="15.75" customHeight="1"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spans="2:28" ht="15.75" customHeight="1"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spans="2:28" ht="15.75" customHeight="1"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spans="2:28" ht="15.75" customHeight="1"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spans="2:28" ht="15.75" customHeight="1"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spans="2:28" ht="15.75" customHeight="1"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spans="2:28" ht="15.75" customHeight="1"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spans="2:28" ht="15.75" customHeight="1"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spans="2:28" ht="15.75" customHeight="1"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spans="2:28" ht="15.75" customHeight="1"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spans="2:28" ht="15.75" customHeight="1"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spans="2:28" ht="15.75" customHeight="1"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spans="2:28" ht="15.75" customHeight="1"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spans="2:28" ht="15.75" customHeight="1"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spans="2:28" ht="15.75" customHeight="1"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spans="2:28" ht="15.75" customHeight="1"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spans="2:28" ht="15.75" customHeight="1"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spans="2:28" ht="15.75" customHeight="1"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spans="2:28" ht="15.75" customHeight="1"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spans="2:28" ht="15.75" customHeight="1"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spans="2:28" ht="15.75" customHeight="1"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spans="2:28" ht="15.75" customHeight="1"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spans="2:28" ht="15.75" customHeight="1"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spans="2:28" ht="15.75" customHeight="1"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spans="2:28" ht="15.75" customHeight="1"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spans="2:28" ht="15.75" customHeight="1"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spans="2:28" ht="15.75" customHeight="1"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spans="2:28" ht="15.75" customHeight="1"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spans="2:28" ht="15.75" customHeight="1"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spans="2:28" ht="15.75" customHeight="1"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spans="2:28" ht="15.75" customHeight="1"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spans="2:28" ht="15.75" customHeight="1"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spans="2:28" ht="15.75" customHeight="1"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spans="2:28" ht="15.75" customHeight="1"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spans="2:28" ht="15.75" customHeight="1"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spans="2:28" ht="15.75" customHeight="1"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spans="2:28" ht="15.75" customHeight="1"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spans="2:28" ht="15.75" customHeight="1"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spans="2:28" ht="15.75" customHeight="1"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spans="2:28" ht="15.75" customHeight="1"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 spans="2:28" ht="15" customHeight="1">
      <c r="M1001" s="6"/>
      <c r="N1001" s="6"/>
      <c r="O1001" s="6"/>
      <c r="P1001" s="6"/>
      <c r="Q1001" s="6"/>
      <c r="R1001" s="6"/>
      <c r="S1001" s="6"/>
    </row>
    <row r="1002" spans="2:28" ht="15" customHeight="1">
      <c r="M1002" s="6"/>
      <c r="N1002" s="6"/>
      <c r="O1002" s="6"/>
      <c r="P1002" s="6"/>
      <c r="Q1002" s="6"/>
      <c r="R1002" s="6"/>
      <c r="S1002" s="6"/>
    </row>
    <row r="1003" spans="2:28" ht="15" customHeight="1">
      <c r="M1003" s="6"/>
      <c r="N1003" s="6"/>
      <c r="O1003" s="6"/>
      <c r="P1003" s="6"/>
      <c r="Q1003" s="6"/>
      <c r="R1003" s="6"/>
      <c r="S1003" s="6"/>
    </row>
    <row r="1004" spans="2:28" ht="15" customHeight="1">
      <c r="M1004" s="6"/>
      <c r="N1004" s="6"/>
      <c r="O1004" s="6"/>
      <c r="P1004" s="6"/>
      <c r="Q1004" s="6"/>
      <c r="R1004" s="6"/>
      <c r="S1004" s="6"/>
    </row>
    <row r="1005" spans="2:28" ht="15" customHeight="1">
      <c r="M1005" s="6"/>
      <c r="N1005" s="6"/>
      <c r="O1005" s="6"/>
      <c r="P1005" s="6"/>
      <c r="Q1005" s="6"/>
      <c r="R1005" s="6"/>
      <c r="S1005" s="6"/>
    </row>
    <row r="1006" spans="2:28" ht="15" customHeight="1">
      <c r="M1006" s="6"/>
      <c r="N1006" s="6"/>
      <c r="O1006" s="6"/>
      <c r="P1006" s="6"/>
      <c r="Q1006" s="6"/>
      <c r="R1006" s="6"/>
      <c r="S1006" s="6"/>
    </row>
    <row r="1007" spans="2:28" ht="15" customHeight="1">
      <c r="M1007" s="6"/>
      <c r="N1007" s="6"/>
      <c r="O1007" s="6"/>
      <c r="P1007" s="6"/>
      <c r="Q1007" s="6"/>
      <c r="R1007" s="6"/>
      <c r="S1007" s="6"/>
    </row>
    <row r="1008" spans="2:28" ht="15" customHeight="1">
      <c r="M1008" s="6"/>
      <c r="N1008" s="6"/>
      <c r="O1008" s="6"/>
      <c r="P1008" s="6"/>
      <c r="Q1008" s="6"/>
      <c r="R1008" s="6"/>
      <c r="S1008" s="6"/>
    </row>
    <row r="1009" spans="13:19" ht="15" customHeight="1">
      <c r="M1009" s="6"/>
      <c r="N1009" s="6"/>
      <c r="O1009" s="6"/>
      <c r="P1009" s="6"/>
      <c r="Q1009" s="6"/>
      <c r="R1009" s="6"/>
      <c r="S1009" s="6"/>
    </row>
    <row r="1010" spans="13:19" ht="15" customHeight="1">
      <c r="M1010" s="6"/>
      <c r="N1010" s="6"/>
      <c r="O1010" s="6"/>
      <c r="P1010" s="6"/>
      <c r="Q1010" s="6"/>
      <c r="R1010" s="6"/>
      <c r="S1010" s="6"/>
    </row>
    <row r="1011" spans="13:19" ht="15" customHeight="1">
      <c r="M1011" s="6"/>
      <c r="N1011" s="6"/>
      <c r="O1011" s="6"/>
      <c r="P1011" s="6"/>
      <c r="Q1011" s="6"/>
      <c r="R1011" s="6"/>
      <c r="S1011" s="6"/>
    </row>
  </sheetData>
  <autoFilter ref="A2:K34" xr:uid="{00000000-0001-0000-0200-000000000000}"/>
  <mergeCells count="8">
    <mergeCell ref="M32:M36"/>
    <mergeCell ref="A1:K1"/>
    <mergeCell ref="P15:Q15"/>
    <mergeCell ref="R15:S15"/>
    <mergeCell ref="M17:M21"/>
    <mergeCell ref="M27:M31"/>
    <mergeCell ref="M22:M26"/>
    <mergeCell ref="M15:O15"/>
  </mergeCells>
  <phoneticPr fontId="28" type="noConversion"/>
  <conditionalFormatting sqref="A1:K34">
    <cfRule type="expression" dxfId="4" priority="2">
      <formula>$J1="ANNULLATO"</formula>
    </cfRule>
    <cfRule type="expression" dxfId="3" priority="3">
      <formula>$J1="DA RITIRARE"</formula>
    </cfRule>
    <cfRule type="expression" dxfId="2" priority="4">
      <formula>$J1="CONSEGNATO"</formula>
    </cfRule>
    <cfRule type="expression" dxfId="1" priority="5">
      <formula>$J1="DA CONSEGNARE"</formula>
    </cfRule>
  </conditionalFormatting>
  <conditionalFormatting sqref="A3:K34">
    <cfRule type="expression" dxfId="0" priority="1">
      <formula>$J3="CONSEGNATO A MANO"</formula>
    </cfRule>
  </conditionalFormatting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09260-6E36-4620-A053-8B0FC32DF137}">
  <sheetPr codeName="Foglio5"/>
  <dimension ref="A1:E9"/>
  <sheetViews>
    <sheetView workbookViewId="0">
      <selection activeCell="C9" sqref="C9"/>
    </sheetView>
  </sheetViews>
  <sheetFormatPr defaultRowHeight="15"/>
  <cols>
    <col min="1" max="1" width="19" customWidth="1"/>
    <col min="5" max="5" width="24.85546875" customWidth="1"/>
  </cols>
  <sheetData>
    <row r="1" spans="1:5">
      <c r="A1" s="355" t="s">
        <v>224</v>
      </c>
      <c r="B1" s="356"/>
      <c r="C1" s="356"/>
      <c r="D1" s="356"/>
      <c r="E1" s="356"/>
    </row>
    <row r="2" spans="1:5">
      <c r="A2" s="356"/>
      <c r="B2" s="356"/>
      <c r="C2" s="356"/>
      <c r="D2" s="356"/>
      <c r="E2" s="356"/>
    </row>
    <row r="3" spans="1:5">
      <c r="A3" s="356"/>
      <c r="B3" s="356"/>
      <c r="C3" s="356"/>
      <c r="D3" s="356"/>
      <c r="E3" s="356"/>
    </row>
    <row r="4" spans="1:5" ht="84.75" customHeight="1">
      <c r="A4" s="356"/>
      <c r="B4" s="356"/>
      <c r="C4" s="356"/>
      <c r="D4" s="356"/>
      <c r="E4" s="356"/>
    </row>
    <row r="5" spans="1:5" ht="120" customHeight="1">
      <c r="A5" s="356"/>
      <c r="B5" s="356"/>
      <c r="C5" s="356"/>
      <c r="D5" s="356"/>
      <c r="E5" s="356"/>
    </row>
    <row r="7" spans="1:5">
      <c r="A7" s="108" t="s">
        <v>256</v>
      </c>
      <c r="B7">
        <v>20</v>
      </c>
    </row>
    <row r="8" spans="1:5">
      <c r="A8" s="108" t="s">
        <v>255</v>
      </c>
      <c r="B8">
        <v>18</v>
      </c>
    </row>
    <row r="9" spans="1:5">
      <c r="A9" s="108" t="s">
        <v>254</v>
      </c>
      <c r="B9" s="108">
        <f>B7-B8</f>
        <v>2</v>
      </c>
    </row>
  </sheetData>
  <mergeCells count="1">
    <mergeCell ref="A1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0B8E-1E1B-4615-BB23-B73A212FDFDB}">
  <sheetPr codeName="Foglio6"/>
  <dimension ref="A1:S76"/>
  <sheetViews>
    <sheetView topLeftCell="A26" workbookViewId="0">
      <selection activeCell="Q50" sqref="Q50"/>
    </sheetView>
  </sheetViews>
  <sheetFormatPr defaultRowHeight="15"/>
  <cols>
    <col min="1" max="1" width="22.85546875" bestFit="1" customWidth="1"/>
    <col min="2" max="2" width="18.28515625" bestFit="1" customWidth="1"/>
    <col min="3" max="3" width="13.140625" bestFit="1" customWidth="1"/>
    <col min="4" max="4" width="6.140625" bestFit="1" customWidth="1"/>
    <col min="5" max="5" width="6.5703125" bestFit="1" customWidth="1"/>
    <col min="6" max="6" width="18.7109375" bestFit="1" customWidth="1"/>
    <col min="7" max="7" width="9.140625" bestFit="1" customWidth="1"/>
    <col min="8" max="8" width="10.85546875" bestFit="1" customWidth="1"/>
    <col min="9" max="9" width="12.140625" bestFit="1" customWidth="1"/>
    <col min="11" max="11" width="6.5703125" bestFit="1" customWidth="1"/>
    <col min="12" max="12" width="10.7109375" customWidth="1"/>
    <col min="13" max="13" width="10.5703125" customWidth="1"/>
    <col min="14" max="14" width="6" bestFit="1" customWidth="1"/>
  </cols>
  <sheetData>
    <row r="1" spans="1:19">
      <c r="A1" s="357" t="s">
        <v>202</v>
      </c>
      <c r="B1" s="358"/>
      <c r="C1" s="358"/>
      <c r="D1" s="358"/>
      <c r="E1" s="358"/>
      <c r="F1" s="358"/>
      <c r="G1" s="359"/>
    </row>
    <row r="2" spans="1:19" ht="15" customHeight="1" thickBot="1">
      <c r="A2" s="59" t="s">
        <v>203</v>
      </c>
      <c r="B2" s="59" t="s">
        <v>210</v>
      </c>
      <c r="C2" s="59" t="s">
        <v>208</v>
      </c>
      <c r="D2" s="59" t="s">
        <v>209</v>
      </c>
      <c r="E2" s="59" t="s">
        <v>206</v>
      </c>
      <c r="F2" s="59" t="s">
        <v>205</v>
      </c>
      <c r="G2" s="60" t="s">
        <v>214</v>
      </c>
      <c r="K2" s="372" t="s">
        <v>209</v>
      </c>
      <c r="L2" s="371" t="s">
        <v>204</v>
      </c>
      <c r="M2" s="371"/>
    </row>
    <row r="3" spans="1:19" ht="16.5" thickTop="1" thickBot="1">
      <c r="A3" s="61">
        <v>45725</v>
      </c>
      <c r="B3" s="62">
        <v>40</v>
      </c>
      <c r="C3" s="63">
        <v>0</v>
      </c>
      <c r="D3" s="63">
        <v>0</v>
      </c>
      <c r="E3" s="63">
        <v>0</v>
      </c>
      <c r="F3" s="63">
        <v>0</v>
      </c>
      <c r="G3" s="64">
        <v>0</v>
      </c>
      <c r="K3" s="373"/>
      <c r="L3" s="371"/>
      <c r="M3" s="371"/>
    </row>
    <row r="4" spans="1:19" ht="15.75" thickTop="1">
      <c r="A4" s="65">
        <v>45726</v>
      </c>
      <c r="B4" s="66">
        <v>40</v>
      </c>
      <c r="C4" s="66">
        <v>40</v>
      </c>
      <c r="D4" s="66">
        <v>40</v>
      </c>
      <c r="E4" s="66">
        <v>40</v>
      </c>
      <c r="F4" s="66">
        <v>40</v>
      </c>
      <c r="G4" s="67">
        <f>E4+F4</f>
        <v>80</v>
      </c>
      <c r="K4" s="373"/>
      <c r="L4" s="371"/>
      <c r="M4" s="371"/>
    </row>
    <row r="5" spans="1:19">
      <c r="A5" s="68">
        <v>45727</v>
      </c>
      <c r="B5" s="69">
        <v>20</v>
      </c>
      <c r="C5" s="69">
        <v>20</v>
      </c>
      <c r="D5" s="69">
        <v>20</v>
      </c>
      <c r="E5" s="69">
        <v>20</v>
      </c>
      <c r="F5" s="69">
        <v>20</v>
      </c>
      <c r="G5" s="70">
        <f t="shared" ref="G5:G28" si="0">E5+F5</f>
        <v>40</v>
      </c>
      <c r="K5" s="373"/>
      <c r="L5" s="371"/>
      <c r="M5" s="371"/>
    </row>
    <row r="6" spans="1:19">
      <c r="A6" s="71">
        <v>45728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3">
        <f t="shared" si="0"/>
        <v>0</v>
      </c>
    </row>
    <row r="7" spans="1:19">
      <c r="A7" s="68">
        <v>45729</v>
      </c>
      <c r="B7" s="69">
        <v>20</v>
      </c>
      <c r="C7" s="69">
        <v>20</v>
      </c>
      <c r="D7" s="69">
        <v>20</v>
      </c>
      <c r="E7" s="69">
        <v>20</v>
      </c>
      <c r="F7" s="69">
        <v>20</v>
      </c>
      <c r="G7" s="70">
        <f t="shared" si="0"/>
        <v>40</v>
      </c>
    </row>
    <row r="8" spans="1:19" ht="15" customHeight="1">
      <c r="A8" s="71">
        <v>45730</v>
      </c>
      <c r="B8" s="72">
        <v>0</v>
      </c>
      <c r="C8" s="72">
        <v>0</v>
      </c>
      <c r="D8" s="72">
        <v>0</v>
      </c>
      <c r="E8" s="72">
        <v>0</v>
      </c>
      <c r="F8" s="72">
        <v>0</v>
      </c>
      <c r="G8" s="73">
        <f t="shared" si="0"/>
        <v>0</v>
      </c>
      <c r="K8" s="372" t="s">
        <v>210</v>
      </c>
      <c r="L8" s="374" t="s">
        <v>211</v>
      </c>
      <c r="M8" s="371"/>
      <c r="N8" s="397" t="s">
        <v>248</v>
      </c>
      <c r="O8" s="396" t="s">
        <v>249</v>
      </c>
      <c r="P8" s="396"/>
      <c r="Q8" s="398" t="s">
        <v>267</v>
      </c>
      <c r="R8" s="396" t="s">
        <v>250</v>
      </c>
      <c r="S8" s="396"/>
    </row>
    <row r="9" spans="1:19" ht="15" customHeight="1">
      <c r="A9" s="68">
        <v>45731</v>
      </c>
      <c r="B9" s="69">
        <v>50</v>
      </c>
      <c r="C9" s="69">
        <v>40</v>
      </c>
      <c r="D9" s="69">
        <v>40</v>
      </c>
      <c r="E9" s="72">
        <v>0</v>
      </c>
      <c r="F9" s="72">
        <v>0</v>
      </c>
      <c r="G9" s="73">
        <f t="shared" si="0"/>
        <v>0</v>
      </c>
      <c r="K9" s="372"/>
      <c r="L9" s="371"/>
      <c r="M9" s="371"/>
      <c r="N9" s="397"/>
      <c r="O9" s="396"/>
      <c r="P9" s="396"/>
      <c r="Q9" s="397"/>
      <c r="R9" s="396"/>
      <c r="S9" s="396"/>
    </row>
    <row r="10" spans="1:19" ht="15.75" thickBot="1">
      <c r="A10" s="74">
        <v>45732</v>
      </c>
      <c r="B10" s="75">
        <v>0</v>
      </c>
      <c r="C10" s="75">
        <v>0</v>
      </c>
      <c r="D10" s="75">
        <v>0</v>
      </c>
      <c r="E10" s="75">
        <v>0</v>
      </c>
      <c r="F10" s="75">
        <v>0</v>
      </c>
      <c r="G10" s="76">
        <f t="shared" si="0"/>
        <v>0</v>
      </c>
      <c r="K10" s="372"/>
      <c r="L10" s="371"/>
      <c r="M10" s="371"/>
      <c r="N10" s="397"/>
      <c r="O10" s="396"/>
      <c r="P10" s="396"/>
      <c r="Q10" s="397"/>
      <c r="R10" s="396"/>
      <c r="S10" s="396"/>
    </row>
    <row r="11" spans="1:19" ht="15.75" thickTop="1">
      <c r="A11" s="77">
        <v>45733</v>
      </c>
      <c r="B11" s="78">
        <v>0</v>
      </c>
      <c r="C11" s="78">
        <v>0</v>
      </c>
      <c r="D11" s="78">
        <v>0</v>
      </c>
      <c r="E11" s="78">
        <v>0</v>
      </c>
      <c r="F11" s="78">
        <v>0</v>
      </c>
      <c r="G11" s="79">
        <f t="shared" si="0"/>
        <v>0</v>
      </c>
      <c r="K11" s="372"/>
      <c r="L11" s="371"/>
      <c r="M11" s="371"/>
      <c r="N11" s="397"/>
      <c r="O11" s="396"/>
      <c r="P11" s="396"/>
      <c r="Q11" s="397"/>
      <c r="R11" s="396"/>
      <c r="S11" s="396"/>
    </row>
    <row r="12" spans="1:19">
      <c r="A12" s="71">
        <v>45734</v>
      </c>
      <c r="B12" s="78">
        <v>0</v>
      </c>
      <c r="C12" s="78">
        <v>0</v>
      </c>
      <c r="D12" s="78">
        <v>0</v>
      </c>
      <c r="E12" s="78">
        <v>0</v>
      </c>
      <c r="F12" s="78">
        <v>0</v>
      </c>
      <c r="G12" s="79">
        <f t="shared" si="0"/>
        <v>0</v>
      </c>
      <c r="K12" s="372"/>
      <c r="L12" s="371"/>
      <c r="M12" s="371"/>
      <c r="N12" s="397"/>
      <c r="O12" s="396"/>
      <c r="P12" s="396"/>
      <c r="Q12" s="397"/>
      <c r="R12" s="396"/>
      <c r="S12" s="396"/>
    </row>
    <row r="13" spans="1:19">
      <c r="A13" s="71">
        <v>45735</v>
      </c>
      <c r="B13" s="78">
        <v>0</v>
      </c>
      <c r="C13" s="78">
        <v>0</v>
      </c>
      <c r="D13" s="78">
        <v>0</v>
      </c>
      <c r="E13" s="78">
        <v>0</v>
      </c>
      <c r="F13" s="78">
        <v>0</v>
      </c>
      <c r="G13" s="79">
        <f t="shared" si="0"/>
        <v>0</v>
      </c>
    </row>
    <row r="14" spans="1:19">
      <c r="A14" s="68">
        <v>45736</v>
      </c>
      <c r="B14" s="69">
        <v>50</v>
      </c>
      <c r="C14" s="69">
        <v>50</v>
      </c>
      <c r="D14" s="69">
        <v>50</v>
      </c>
      <c r="E14" s="69">
        <v>40</v>
      </c>
      <c r="F14" s="69">
        <v>40</v>
      </c>
      <c r="G14" s="67">
        <f t="shared" si="0"/>
        <v>80</v>
      </c>
    </row>
    <row r="15" spans="1:19">
      <c r="A15" s="71">
        <v>45737</v>
      </c>
      <c r="B15" s="78">
        <v>0</v>
      </c>
      <c r="C15" s="78">
        <v>0</v>
      </c>
      <c r="D15" s="78">
        <v>0</v>
      </c>
      <c r="E15" s="78">
        <v>0</v>
      </c>
      <c r="F15" s="78">
        <v>0</v>
      </c>
      <c r="G15" s="79">
        <f t="shared" si="0"/>
        <v>0</v>
      </c>
      <c r="K15" s="372" t="s">
        <v>208</v>
      </c>
      <c r="L15" s="375" t="s">
        <v>207</v>
      </c>
      <c r="M15" s="356"/>
    </row>
    <row r="16" spans="1:19">
      <c r="A16" s="68">
        <v>45738</v>
      </c>
      <c r="B16" s="69">
        <v>36</v>
      </c>
      <c r="C16" s="69">
        <v>30</v>
      </c>
      <c r="D16" s="69">
        <v>30</v>
      </c>
      <c r="E16" s="69">
        <v>36</v>
      </c>
      <c r="F16" s="69">
        <v>36</v>
      </c>
      <c r="G16" s="67">
        <f t="shared" si="0"/>
        <v>72</v>
      </c>
      <c r="K16" s="372"/>
    </row>
    <row r="17" spans="1:14" ht="15.75" thickBot="1">
      <c r="A17" s="74">
        <v>45739</v>
      </c>
      <c r="B17" s="75">
        <v>0</v>
      </c>
      <c r="C17" s="75">
        <v>0</v>
      </c>
      <c r="D17" s="75">
        <v>0</v>
      </c>
      <c r="E17" s="75">
        <v>0</v>
      </c>
      <c r="F17" s="75">
        <v>0</v>
      </c>
      <c r="G17" s="76">
        <v>0</v>
      </c>
      <c r="K17" s="372"/>
    </row>
    <row r="18" spans="1:14" ht="15.75" thickTop="1">
      <c r="A18" s="65">
        <v>45740</v>
      </c>
      <c r="B18" s="66">
        <v>100</v>
      </c>
      <c r="C18" s="66">
        <v>50</v>
      </c>
      <c r="D18" s="66">
        <v>50</v>
      </c>
      <c r="E18" s="66">
        <v>60</v>
      </c>
      <c r="F18" s="66">
        <v>60</v>
      </c>
      <c r="G18" s="67">
        <f t="shared" si="0"/>
        <v>120</v>
      </c>
      <c r="K18" s="372"/>
    </row>
    <row r="19" spans="1:14">
      <c r="A19" s="77">
        <v>45741</v>
      </c>
      <c r="B19" s="78">
        <v>0</v>
      </c>
      <c r="C19" s="78">
        <v>0</v>
      </c>
      <c r="D19" s="78">
        <v>0</v>
      </c>
      <c r="E19" s="78">
        <v>0</v>
      </c>
      <c r="F19" s="78">
        <v>0</v>
      </c>
      <c r="G19" s="79">
        <f t="shared" si="0"/>
        <v>0</v>
      </c>
      <c r="K19" s="372"/>
    </row>
    <row r="20" spans="1:14">
      <c r="A20" s="65">
        <v>45742</v>
      </c>
      <c r="B20" s="66">
        <v>100</v>
      </c>
      <c r="C20" s="66">
        <v>50</v>
      </c>
      <c r="D20" s="66">
        <v>50</v>
      </c>
      <c r="E20" s="66">
        <v>60</v>
      </c>
      <c r="F20" s="66">
        <v>60</v>
      </c>
      <c r="G20" s="67">
        <f t="shared" si="0"/>
        <v>120</v>
      </c>
    </row>
    <row r="21" spans="1:14">
      <c r="A21" s="77">
        <v>45743</v>
      </c>
      <c r="B21" s="78">
        <v>0</v>
      </c>
      <c r="C21" s="78">
        <v>0</v>
      </c>
      <c r="D21" s="78">
        <v>0</v>
      </c>
      <c r="E21" s="78">
        <v>0</v>
      </c>
      <c r="F21" s="78">
        <v>0</v>
      </c>
      <c r="G21" s="73">
        <f t="shared" si="0"/>
        <v>0</v>
      </c>
      <c r="K21" s="372" t="s">
        <v>206</v>
      </c>
      <c r="L21" s="375" t="s">
        <v>212</v>
      </c>
      <c r="M21" s="375"/>
    </row>
    <row r="22" spans="1:14">
      <c r="A22" s="77">
        <v>45744</v>
      </c>
      <c r="B22" s="78">
        <v>0</v>
      </c>
      <c r="C22" s="78">
        <v>0</v>
      </c>
      <c r="D22" s="78">
        <v>0</v>
      </c>
      <c r="E22" s="78">
        <v>0</v>
      </c>
      <c r="F22" s="78">
        <v>0</v>
      </c>
      <c r="G22" s="79">
        <f t="shared" si="0"/>
        <v>0</v>
      </c>
      <c r="K22" s="372"/>
    </row>
    <row r="23" spans="1:14">
      <c r="A23" s="77">
        <v>45745</v>
      </c>
      <c r="B23" s="78">
        <v>0</v>
      </c>
      <c r="C23" s="78">
        <v>0</v>
      </c>
      <c r="D23" s="78">
        <v>0</v>
      </c>
      <c r="E23" s="78">
        <v>0</v>
      </c>
      <c r="F23" s="78">
        <v>0</v>
      </c>
      <c r="G23" s="79">
        <f t="shared" si="0"/>
        <v>0</v>
      </c>
      <c r="K23" s="372"/>
    </row>
    <row r="24" spans="1:14" ht="15.75" thickBot="1">
      <c r="A24" s="74">
        <v>45746</v>
      </c>
      <c r="B24" s="75">
        <v>0</v>
      </c>
      <c r="C24" s="75">
        <v>0</v>
      </c>
      <c r="D24" s="75">
        <v>0</v>
      </c>
      <c r="E24" s="75">
        <v>0</v>
      </c>
      <c r="F24" s="75">
        <v>0</v>
      </c>
      <c r="G24" s="76">
        <f t="shared" si="0"/>
        <v>0</v>
      </c>
      <c r="K24" s="372"/>
    </row>
    <row r="25" spans="1:14" ht="16.5" thickTop="1" thickBot="1">
      <c r="A25" s="201"/>
      <c r="B25" s="205" t="s">
        <v>264</v>
      </c>
      <c r="C25" s="202"/>
      <c r="D25" s="202"/>
      <c r="E25" s="202"/>
      <c r="F25" s="202"/>
      <c r="G25" s="203"/>
      <c r="K25" s="372"/>
    </row>
    <row r="26" spans="1:14" ht="15.75" thickTop="1">
      <c r="A26" s="65">
        <v>45747</v>
      </c>
      <c r="B26" s="66">
        <v>100</v>
      </c>
      <c r="C26" s="66">
        <v>60</v>
      </c>
      <c r="D26" s="66">
        <v>60</v>
      </c>
      <c r="E26" s="66">
        <v>60</v>
      </c>
      <c r="F26" s="66">
        <v>60</v>
      </c>
      <c r="G26" s="67">
        <f t="shared" si="0"/>
        <v>120</v>
      </c>
      <c r="K26" s="372"/>
    </row>
    <row r="27" spans="1:14">
      <c r="A27" s="77">
        <v>45748</v>
      </c>
      <c r="B27" s="78">
        <v>0</v>
      </c>
      <c r="C27" s="78">
        <v>0</v>
      </c>
      <c r="D27" s="78">
        <v>0</v>
      </c>
      <c r="E27" s="78">
        <v>0</v>
      </c>
      <c r="F27" s="78">
        <v>0</v>
      </c>
      <c r="G27" s="79">
        <f t="shared" si="0"/>
        <v>0</v>
      </c>
      <c r="K27" s="372"/>
    </row>
    <row r="28" spans="1:14">
      <c r="A28" s="77">
        <v>45749</v>
      </c>
      <c r="B28" s="78">
        <v>0</v>
      </c>
      <c r="C28" s="78">
        <v>0</v>
      </c>
      <c r="D28" s="78">
        <v>0</v>
      </c>
      <c r="E28" s="78">
        <v>0</v>
      </c>
      <c r="F28" s="78">
        <v>0</v>
      </c>
      <c r="G28" s="79">
        <f t="shared" si="0"/>
        <v>0</v>
      </c>
      <c r="N28" s="50"/>
    </row>
    <row r="29" spans="1:14">
      <c r="A29" s="77">
        <v>45750</v>
      </c>
      <c r="B29" s="78">
        <v>0</v>
      </c>
      <c r="C29" s="78">
        <v>0</v>
      </c>
      <c r="D29" s="78">
        <v>0</v>
      </c>
      <c r="E29" s="78">
        <v>0</v>
      </c>
      <c r="F29" s="78">
        <v>0</v>
      </c>
      <c r="G29" s="79">
        <f t="shared" ref="G29:G34" si="1">E29+F29</f>
        <v>0</v>
      </c>
      <c r="K29" s="372" t="s">
        <v>205</v>
      </c>
      <c r="L29" s="375" t="s">
        <v>213</v>
      </c>
      <c r="M29" s="375"/>
    </row>
    <row r="30" spans="1:14">
      <c r="A30" s="77">
        <v>45751</v>
      </c>
      <c r="B30" s="78">
        <v>0</v>
      </c>
      <c r="C30" s="78">
        <v>0</v>
      </c>
      <c r="D30" s="78">
        <v>0</v>
      </c>
      <c r="E30" s="78">
        <v>0</v>
      </c>
      <c r="F30" s="78">
        <v>0</v>
      </c>
      <c r="G30" s="79">
        <f t="shared" si="1"/>
        <v>0</v>
      </c>
      <c r="K30" s="372"/>
    </row>
    <row r="31" spans="1:14">
      <c r="A31" s="65">
        <v>45752</v>
      </c>
      <c r="B31" s="66">
        <v>100</v>
      </c>
      <c r="C31" s="66">
        <v>60</v>
      </c>
      <c r="D31" s="66">
        <v>60</v>
      </c>
      <c r="E31" s="66">
        <v>60</v>
      </c>
      <c r="F31" s="66">
        <v>60</v>
      </c>
      <c r="G31" s="67">
        <f t="shared" si="1"/>
        <v>120</v>
      </c>
      <c r="K31" s="372"/>
    </row>
    <row r="32" spans="1:14" ht="15.75" thickBot="1">
      <c r="A32" s="74">
        <v>45753</v>
      </c>
      <c r="B32" s="75">
        <v>0</v>
      </c>
      <c r="C32" s="75">
        <v>0</v>
      </c>
      <c r="D32" s="75">
        <v>0</v>
      </c>
      <c r="E32" s="75">
        <v>0</v>
      </c>
      <c r="F32" s="75">
        <v>0</v>
      </c>
      <c r="G32" s="76">
        <f t="shared" si="1"/>
        <v>0</v>
      </c>
      <c r="K32" s="372"/>
    </row>
    <row r="33" spans="1:11" ht="15.75" thickTop="1">
      <c r="A33" s="65">
        <v>45754</v>
      </c>
      <c r="B33" s="66">
        <v>90</v>
      </c>
      <c r="C33" s="78">
        <v>0</v>
      </c>
      <c r="D33" s="78">
        <v>0</v>
      </c>
      <c r="E33" s="66">
        <v>36</v>
      </c>
      <c r="F33" s="66">
        <v>36</v>
      </c>
      <c r="G33" s="67">
        <f t="shared" si="1"/>
        <v>72</v>
      </c>
      <c r="H33" s="56"/>
      <c r="K33" s="372"/>
    </row>
    <row r="34" spans="1:11">
      <c r="A34" s="77">
        <v>45755</v>
      </c>
      <c r="B34" s="78">
        <v>0</v>
      </c>
      <c r="C34" s="78">
        <v>0</v>
      </c>
      <c r="D34" s="78">
        <v>0</v>
      </c>
      <c r="E34" s="78">
        <v>0</v>
      </c>
      <c r="F34" s="78">
        <v>0</v>
      </c>
      <c r="G34" s="79">
        <f t="shared" si="1"/>
        <v>0</v>
      </c>
    </row>
    <row r="35" spans="1:11">
      <c r="A35" s="77">
        <v>45756</v>
      </c>
      <c r="B35" s="78">
        <v>0</v>
      </c>
      <c r="C35" s="78">
        <v>0</v>
      </c>
      <c r="D35" s="78">
        <v>0</v>
      </c>
      <c r="E35" s="78">
        <v>0</v>
      </c>
      <c r="F35" s="78">
        <v>0</v>
      </c>
      <c r="G35" s="79">
        <f>E35+F35</f>
        <v>0</v>
      </c>
    </row>
    <row r="36" spans="1:11">
      <c r="A36" s="77">
        <v>45757</v>
      </c>
      <c r="B36" s="78">
        <v>0</v>
      </c>
      <c r="C36" s="78">
        <v>0</v>
      </c>
      <c r="D36" s="78">
        <v>0</v>
      </c>
      <c r="E36" s="78">
        <v>0</v>
      </c>
      <c r="F36" s="78">
        <v>0</v>
      </c>
      <c r="G36" s="79">
        <f>E36+F36</f>
        <v>0</v>
      </c>
    </row>
    <row r="37" spans="1:11">
      <c r="A37" s="77">
        <v>45758</v>
      </c>
      <c r="B37" s="78">
        <v>0</v>
      </c>
      <c r="C37" s="78">
        <v>0</v>
      </c>
      <c r="D37" s="78">
        <v>0</v>
      </c>
      <c r="E37" s="78">
        <v>0</v>
      </c>
      <c r="F37" s="78">
        <v>0</v>
      </c>
      <c r="G37" s="79">
        <f t="shared" ref="G37:G39" si="2">E37+F37</f>
        <v>0</v>
      </c>
    </row>
    <row r="38" spans="1:11">
      <c r="A38" s="77">
        <v>45759</v>
      </c>
      <c r="B38" s="78">
        <v>0</v>
      </c>
      <c r="C38" s="78">
        <v>0</v>
      </c>
      <c r="D38" s="78">
        <v>0</v>
      </c>
      <c r="E38" s="78">
        <v>0</v>
      </c>
      <c r="F38" s="78">
        <v>0</v>
      </c>
      <c r="G38" s="79">
        <f t="shared" si="2"/>
        <v>0</v>
      </c>
    </row>
    <row r="39" spans="1:11" ht="15.75" thickBot="1">
      <c r="A39" s="74">
        <v>45760</v>
      </c>
      <c r="B39" s="75">
        <v>0</v>
      </c>
      <c r="C39" s="75">
        <v>0</v>
      </c>
      <c r="D39" s="75">
        <v>0</v>
      </c>
      <c r="E39" s="75">
        <v>0</v>
      </c>
      <c r="F39" s="75">
        <v>0</v>
      </c>
      <c r="G39" s="76">
        <f t="shared" si="2"/>
        <v>0</v>
      </c>
    </row>
    <row r="40" spans="1:11" ht="16.5" thickTop="1" thickBot="1">
      <c r="A40" s="57"/>
      <c r="B40" s="57"/>
      <c r="C40" s="57"/>
      <c r="D40" s="57"/>
      <c r="E40" s="57"/>
      <c r="F40" s="57"/>
      <c r="G40" s="57"/>
    </row>
    <row r="41" spans="1:11" ht="24.75" thickTop="1" thickBot="1">
      <c r="A41" s="57"/>
      <c r="B41" s="360" t="s">
        <v>221</v>
      </c>
      <c r="C41" s="361"/>
      <c r="D41" s="361"/>
      <c r="E41" s="361"/>
      <c r="F41" s="361"/>
      <c r="G41" s="362"/>
    </row>
    <row r="42" spans="1:11" ht="16.5" thickTop="1" thickBot="1">
      <c r="A42" s="83" t="s">
        <v>265</v>
      </c>
      <c r="B42" s="80">
        <f>SUM(B3:B10)/40</f>
        <v>4.25</v>
      </c>
      <c r="C42" s="81">
        <f>SUM(C3:C10)/40</f>
        <v>3</v>
      </c>
      <c r="D42" s="81">
        <f>SUM(D3:D10)/40</f>
        <v>3</v>
      </c>
      <c r="E42" s="81">
        <f>SUM(E3:E10)/40</f>
        <v>2</v>
      </c>
      <c r="F42" s="81">
        <f>SUM(F3:F10)/40</f>
        <v>2</v>
      </c>
      <c r="G42" s="82">
        <f>SUM(G3:G10)/80</f>
        <v>2</v>
      </c>
    </row>
    <row r="43" spans="1:11" ht="16.5" thickTop="1" thickBot="1">
      <c r="A43" s="83" t="s">
        <v>227</v>
      </c>
      <c r="B43" s="80">
        <f>SUM(B11:B17)/40</f>
        <v>2.15</v>
      </c>
      <c r="C43" s="81">
        <f>SUM(C11:C17)/40</f>
        <v>2</v>
      </c>
      <c r="D43" s="81">
        <f>SUM(D11:D17)/40</f>
        <v>2</v>
      </c>
      <c r="E43" s="81">
        <f>SUM(E11:E17)/40</f>
        <v>1.9</v>
      </c>
      <c r="F43" s="81">
        <f>SUM(F11:F17)/40</f>
        <v>1.9</v>
      </c>
      <c r="G43" s="82">
        <f>SUM(G11:G17)/80</f>
        <v>1.9</v>
      </c>
    </row>
    <row r="44" spans="1:11" ht="16.5" thickTop="1" thickBot="1">
      <c r="A44" s="83" t="s">
        <v>237</v>
      </c>
      <c r="B44" s="80">
        <f>SUM(B18:B24)/100</f>
        <v>2</v>
      </c>
      <c r="C44" s="81">
        <f>SUM(C18:C24)/50</f>
        <v>2</v>
      </c>
      <c r="D44" s="81">
        <f>SUM(D18:D24)/50</f>
        <v>2</v>
      </c>
      <c r="E44" s="81">
        <f>SUM(E18:E24)/60</f>
        <v>2</v>
      </c>
      <c r="F44" s="81">
        <f>SUM(F18:F24)/60</f>
        <v>2</v>
      </c>
      <c r="G44" s="82">
        <f>SUM(G18:G24)/120</f>
        <v>2</v>
      </c>
    </row>
    <row r="45" spans="1:11" ht="16.5" thickTop="1" thickBot="1">
      <c r="A45" s="107" t="s">
        <v>247</v>
      </c>
      <c r="B45" s="80">
        <f>SUM(B26:B32)/100</f>
        <v>2</v>
      </c>
      <c r="C45" s="81">
        <f>SUM(C26:C32)/50</f>
        <v>2.4</v>
      </c>
      <c r="D45" s="81">
        <f>SUM(D26:D32)/50</f>
        <v>2.4</v>
      </c>
      <c r="E45" s="81">
        <f>SUM(E26:E32)/60</f>
        <v>2</v>
      </c>
      <c r="F45" s="81">
        <f>SUM(F26:F32)/60</f>
        <v>2</v>
      </c>
      <c r="G45" s="82">
        <f>SUM(G26:G32)/120</f>
        <v>2</v>
      </c>
    </row>
    <row r="46" spans="1:11" ht="16.5" thickTop="1" thickBot="1">
      <c r="A46" s="238" t="s">
        <v>266</v>
      </c>
      <c r="B46" s="80">
        <f>SUM(B33:B39)/100</f>
        <v>0.9</v>
      </c>
      <c r="C46" s="81">
        <f>SUM(C33:C39)/50</f>
        <v>0</v>
      </c>
      <c r="D46" s="81">
        <f>SUM(D33:D39)/50</f>
        <v>0</v>
      </c>
      <c r="E46" s="81">
        <f>SUM(E33:E39)/60</f>
        <v>0.6</v>
      </c>
      <c r="F46" s="81">
        <f>SUM(F33:F39)/60</f>
        <v>0.6</v>
      </c>
      <c r="G46" s="82">
        <f>SUM(G33:G39)/120</f>
        <v>0.6</v>
      </c>
    </row>
    <row r="47" spans="1:11" ht="16.5" thickTop="1" thickBot="1">
      <c r="A47" s="57"/>
      <c r="B47" s="57"/>
      <c r="C47" s="57"/>
      <c r="D47" s="57"/>
      <c r="E47" s="57"/>
      <c r="F47" s="57"/>
      <c r="G47" s="57"/>
    </row>
    <row r="48" spans="1:11" ht="24.75" thickTop="1" thickBot="1">
      <c r="A48" s="57"/>
      <c r="B48" s="360" t="s">
        <v>241</v>
      </c>
      <c r="C48" s="361"/>
      <c r="D48" s="361"/>
      <c r="E48" s="361"/>
      <c r="F48" s="361"/>
      <c r="G48" s="362"/>
    </row>
    <row r="49" spans="1:7" ht="16.5" thickTop="1" thickBot="1">
      <c r="A49" s="83" t="s">
        <v>220</v>
      </c>
      <c r="B49" s="80">
        <f>SUM(B3:B10)</f>
        <v>170</v>
      </c>
      <c r="C49" s="81">
        <f t="shared" ref="C49:F49" si="3">SUM(C3:C10)</f>
        <v>120</v>
      </c>
      <c r="D49" s="81">
        <f t="shared" si="3"/>
        <v>120</v>
      </c>
      <c r="E49" s="81">
        <f t="shared" si="3"/>
        <v>80</v>
      </c>
      <c r="F49" s="81">
        <f t="shared" si="3"/>
        <v>80</v>
      </c>
      <c r="G49" s="82">
        <f>SUM(G3:G10)</f>
        <v>160</v>
      </c>
    </row>
    <row r="50" spans="1:7" ht="16.5" thickTop="1" thickBot="1">
      <c r="A50" s="83" t="s">
        <v>227</v>
      </c>
      <c r="B50" s="84">
        <f>SUM(B11:B17)</f>
        <v>86</v>
      </c>
      <c r="C50" s="85">
        <f t="shared" ref="C50:G50" si="4">SUM(C11:C17)</f>
        <v>80</v>
      </c>
      <c r="D50" s="85">
        <f t="shared" si="4"/>
        <v>80</v>
      </c>
      <c r="E50" s="85">
        <f t="shared" si="4"/>
        <v>76</v>
      </c>
      <c r="F50" s="85">
        <f t="shared" si="4"/>
        <v>76</v>
      </c>
      <c r="G50" s="86">
        <f t="shared" si="4"/>
        <v>152</v>
      </c>
    </row>
    <row r="51" spans="1:7" ht="16.5" thickTop="1" thickBot="1">
      <c r="A51" s="83" t="s">
        <v>237</v>
      </c>
      <c r="B51" s="84">
        <f>SUM(B18:B24)</f>
        <v>200</v>
      </c>
      <c r="C51" s="85">
        <f>SUM(C18:C24)</f>
        <v>100</v>
      </c>
      <c r="D51" s="85">
        <f t="shared" ref="D51:G51" si="5">SUM(D18:D24)</f>
        <v>100</v>
      </c>
      <c r="E51" s="85">
        <f t="shared" si="5"/>
        <v>120</v>
      </c>
      <c r="F51" s="85">
        <f t="shared" si="5"/>
        <v>120</v>
      </c>
      <c r="G51" s="86">
        <f t="shared" si="5"/>
        <v>240</v>
      </c>
    </row>
    <row r="52" spans="1:7" ht="16.5" thickTop="1" thickBot="1">
      <c r="A52" s="107" t="s">
        <v>247</v>
      </c>
      <c r="B52" s="84">
        <f t="shared" ref="B52:G52" si="6">SUM(B26:B32)</f>
        <v>200</v>
      </c>
      <c r="C52" s="85">
        <f t="shared" si="6"/>
        <v>120</v>
      </c>
      <c r="D52" s="85">
        <f t="shared" si="6"/>
        <v>120</v>
      </c>
      <c r="E52" s="85">
        <f t="shared" si="6"/>
        <v>120</v>
      </c>
      <c r="F52" s="85">
        <f t="shared" si="6"/>
        <v>120</v>
      </c>
      <c r="G52" s="86">
        <f t="shared" si="6"/>
        <v>240</v>
      </c>
    </row>
    <row r="53" spans="1:7" ht="16.5" thickTop="1" thickBot="1">
      <c r="A53" s="239" t="s">
        <v>266</v>
      </c>
      <c r="B53" s="80">
        <f>SUM(B33:B39)</f>
        <v>90</v>
      </c>
      <c r="C53" s="81">
        <f t="shared" ref="C53:G53" si="7">SUM(C33:C39)</f>
        <v>0</v>
      </c>
      <c r="D53" s="81">
        <f t="shared" si="7"/>
        <v>0</v>
      </c>
      <c r="E53" s="81">
        <f t="shared" si="7"/>
        <v>36</v>
      </c>
      <c r="F53" s="81">
        <f t="shared" si="7"/>
        <v>36</v>
      </c>
      <c r="G53" s="82">
        <f t="shared" si="7"/>
        <v>72</v>
      </c>
    </row>
    <row r="54" spans="1:7" ht="15.75" thickTop="1">
      <c r="A54" s="240"/>
      <c r="B54" s="57"/>
      <c r="C54" s="57"/>
      <c r="D54" s="57"/>
      <c r="E54" s="57"/>
      <c r="F54" s="57"/>
      <c r="G54" s="57"/>
    </row>
    <row r="55" spans="1:7" ht="27" thickBot="1">
      <c r="A55" s="392" t="s">
        <v>324</v>
      </c>
      <c r="B55" s="392"/>
      <c r="C55" s="392"/>
      <c r="D55" s="392"/>
      <c r="E55" s="392"/>
      <c r="F55" s="392"/>
      <c r="G55" s="392"/>
    </row>
    <row r="56" spans="1:7" ht="16.5" thickTop="1" thickBot="1">
      <c r="A56" s="58" t="s">
        <v>228</v>
      </c>
      <c r="B56" s="363" t="s">
        <v>230</v>
      </c>
      <c r="C56" s="363"/>
      <c r="D56" s="363"/>
      <c r="E56" s="363"/>
      <c r="F56" s="363"/>
      <c r="G56" s="364"/>
    </row>
    <row r="57" spans="1:7" ht="16.5" thickTop="1" thickBot="1">
      <c r="A57" s="87" t="s">
        <v>229</v>
      </c>
      <c r="B57" s="363" t="s">
        <v>231</v>
      </c>
      <c r="C57" s="363"/>
      <c r="D57" s="363"/>
      <c r="E57" s="363"/>
      <c r="F57" s="363"/>
      <c r="G57" s="364"/>
    </row>
    <row r="58" spans="1:7" ht="15.75" thickTop="1">
      <c r="A58" s="399" t="s">
        <v>246</v>
      </c>
      <c r="B58" s="368" t="s">
        <v>233</v>
      </c>
      <c r="C58" s="369"/>
      <c r="D58" s="369"/>
      <c r="E58" s="369"/>
      <c r="F58" s="369"/>
      <c r="G58" s="370"/>
    </row>
    <row r="59" spans="1:7">
      <c r="A59" s="400"/>
      <c r="B59" s="365" t="s">
        <v>322</v>
      </c>
      <c r="C59" s="366"/>
      <c r="D59" s="366"/>
      <c r="E59" s="366"/>
      <c r="F59" s="366"/>
      <c r="G59" s="367"/>
    </row>
    <row r="60" spans="1:7">
      <c r="A60" s="400"/>
      <c r="B60" s="366" t="s">
        <v>232</v>
      </c>
      <c r="C60" s="366"/>
      <c r="D60" s="366"/>
      <c r="E60" s="366"/>
      <c r="F60" s="366"/>
      <c r="G60" s="367"/>
    </row>
    <row r="61" spans="1:7">
      <c r="A61" s="400"/>
      <c r="B61" s="402" t="s">
        <v>238</v>
      </c>
      <c r="C61" s="402"/>
      <c r="D61" s="402"/>
      <c r="E61" s="402"/>
      <c r="F61" s="402"/>
      <c r="G61" s="403"/>
    </row>
    <row r="62" spans="1:7" ht="15.75" thickBot="1">
      <c r="A62" s="401"/>
      <c r="B62" s="404" t="s">
        <v>234</v>
      </c>
      <c r="C62" s="404"/>
      <c r="D62" s="404"/>
      <c r="E62" s="404"/>
      <c r="F62" s="404"/>
      <c r="G62" s="405"/>
    </row>
    <row r="63" spans="1:7" ht="18" customHeight="1" thickTop="1" thickBot="1">
      <c r="A63" s="393" t="s">
        <v>266</v>
      </c>
      <c r="B63" s="232" t="s">
        <v>311</v>
      </c>
      <c r="C63" s="81" t="s">
        <v>312</v>
      </c>
      <c r="D63" s="229" t="s">
        <v>313</v>
      </c>
      <c r="E63" s="230" t="s">
        <v>315</v>
      </c>
      <c r="F63" s="230" t="s">
        <v>314</v>
      </c>
      <c r="G63" s="231" t="s">
        <v>320</v>
      </c>
    </row>
    <row r="64" spans="1:7" ht="16.5" customHeight="1" thickTop="1" thickBot="1">
      <c r="A64" s="394"/>
      <c r="B64" s="406" t="s">
        <v>317</v>
      </c>
      <c r="C64" s="407"/>
      <c r="D64" s="407"/>
      <c r="E64" s="407"/>
      <c r="F64" s="408"/>
      <c r="G64" s="237">
        <f>SUM(F65,F68,F69)</f>
        <v>100</v>
      </c>
    </row>
    <row r="65" spans="1:9" ht="25.5" customHeight="1" thickTop="1">
      <c r="A65" s="394"/>
      <c r="B65" s="233" t="s">
        <v>307</v>
      </c>
      <c r="C65" s="221">
        <v>6</v>
      </c>
      <c r="D65" s="221">
        <v>1</v>
      </c>
      <c r="E65" s="222">
        <v>5</v>
      </c>
      <c r="F65" s="227">
        <f>C65*D65*E65</f>
        <v>30</v>
      </c>
      <c r="G65" s="376" t="s">
        <v>316</v>
      </c>
      <c r="H65" s="377"/>
      <c r="I65" s="378"/>
    </row>
    <row r="66" spans="1:9" ht="21" customHeight="1">
      <c r="A66" s="394"/>
      <c r="B66" s="234" t="s">
        <v>305</v>
      </c>
      <c r="C66" s="29">
        <v>8</v>
      </c>
      <c r="D66" s="29">
        <v>1</v>
      </c>
      <c r="E66" s="223">
        <v>5</v>
      </c>
      <c r="F66" s="228">
        <f t="shared" ref="F66:F69" si="8">C66*D66*E66</f>
        <v>40</v>
      </c>
      <c r="G66" s="379"/>
      <c r="H66" s="380"/>
      <c r="I66" s="381"/>
    </row>
    <row r="67" spans="1:9" ht="18.75" customHeight="1">
      <c r="A67" s="394"/>
      <c r="B67" s="234" t="s">
        <v>306</v>
      </c>
      <c r="C67" s="29">
        <v>8</v>
      </c>
      <c r="D67" s="29">
        <v>1</v>
      </c>
      <c r="E67" s="223">
        <v>5</v>
      </c>
      <c r="F67" s="228">
        <f t="shared" si="8"/>
        <v>40</v>
      </c>
      <c r="G67" s="379"/>
      <c r="H67" s="380"/>
      <c r="I67" s="381"/>
    </row>
    <row r="68" spans="1:9">
      <c r="A68" s="394"/>
      <c r="B68" s="234" t="s">
        <v>307</v>
      </c>
      <c r="C68" s="29">
        <v>6</v>
      </c>
      <c r="D68" s="29">
        <v>1</v>
      </c>
      <c r="E68" s="223">
        <v>5</v>
      </c>
      <c r="F68" s="228">
        <f t="shared" si="8"/>
        <v>30</v>
      </c>
      <c r="G68" s="379"/>
      <c r="H68" s="380"/>
      <c r="I68" s="381"/>
    </row>
    <row r="69" spans="1:9">
      <c r="A69" s="394"/>
      <c r="B69" s="234" t="s">
        <v>309</v>
      </c>
      <c r="C69" s="29">
        <v>8</v>
      </c>
      <c r="D69" s="29">
        <v>1</v>
      </c>
      <c r="E69" s="223">
        <v>5</v>
      </c>
      <c r="F69" s="228">
        <f t="shared" si="8"/>
        <v>40</v>
      </c>
      <c r="G69" s="379"/>
      <c r="H69" s="380"/>
      <c r="I69" s="381"/>
    </row>
    <row r="70" spans="1:9" ht="21.75" customHeight="1" thickBot="1">
      <c r="A70" s="394"/>
      <c r="B70" s="235" t="s">
        <v>310</v>
      </c>
      <c r="C70" s="204">
        <v>10</v>
      </c>
      <c r="D70" s="204">
        <v>5</v>
      </c>
      <c r="E70" s="225">
        <v>2</v>
      </c>
      <c r="F70" s="226">
        <f>C70*D70*E70</f>
        <v>100</v>
      </c>
      <c r="G70" s="382"/>
      <c r="H70" s="383"/>
      <c r="I70" s="384"/>
    </row>
    <row r="71" spans="1:9" ht="16.5" thickTop="1" thickBot="1">
      <c r="A71" s="394"/>
      <c r="B71" s="406" t="s">
        <v>318</v>
      </c>
      <c r="C71" s="407"/>
      <c r="D71" s="407"/>
      <c r="E71" s="407"/>
      <c r="F71" s="408"/>
      <c r="G71" s="237">
        <f>SUM(F72:F74)</f>
        <v>90</v>
      </c>
    </row>
    <row r="72" spans="1:9" ht="15.75" thickTop="1">
      <c r="A72" s="394"/>
      <c r="B72" s="233" t="s">
        <v>307</v>
      </c>
      <c r="C72" s="221">
        <v>10</v>
      </c>
      <c r="D72" s="221">
        <v>1</v>
      </c>
      <c r="E72" s="221">
        <v>3</v>
      </c>
      <c r="F72" s="227">
        <f>C72*D72*E72</f>
        <v>30</v>
      </c>
      <c r="G72" s="376" t="s">
        <v>323</v>
      </c>
      <c r="H72" s="385"/>
      <c r="I72" s="386"/>
    </row>
    <row r="73" spans="1:9">
      <c r="A73" s="394"/>
      <c r="B73" s="234" t="s">
        <v>308</v>
      </c>
      <c r="C73" s="29">
        <v>10</v>
      </c>
      <c r="D73" s="29">
        <v>1</v>
      </c>
      <c r="E73" s="29">
        <v>3</v>
      </c>
      <c r="F73" s="228">
        <f t="shared" ref="F73:F75" si="9">C73*D73*E73</f>
        <v>30</v>
      </c>
      <c r="G73" s="387"/>
      <c r="H73" s="373"/>
      <c r="I73" s="388"/>
    </row>
    <row r="74" spans="1:9">
      <c r="A74" s="394"/>
      <c r="B74" s="236" t="s">
        <v>319</v>
      </c>
      <c r="C74" s="224">
        <v>10</v>
      </c>
      <c r="D74" s="224">
        <v>1</v>
      </c>
      <c r="E74" s="224">
        <v>3</v>
      </c>
      <c r="F74" s="228">
        <f t="shared" si="9"/>
        <v>30</v>
      </c>
      <c r="G74" s="387"/>
      <c r="H74" s="373"/>
      <c r="I74" s="388"/>
    </row>
    <row r="75" spans="1:9" ht="15.75" thickBot="1">
      <c r="A75" s="395"/>
      <c r="B75" s="235" t="s">
        <v>321</v>
      </c>
      <c r="C75" s="204">
        <v>12</v>
      </c>
      <c r="D75" s="204">
        <v>2</v>
      </c>
      <c r="E75" s="204">
        <v>3</v>
      </c>
      <c r="F75" s="226">
        <f t="shared" si="9"/>
        <v>72</v>
      </c>
      <c r="G75" s="389"/>
      <c r="H75" s="390"/>
      <c r="I75" s="391"/>
    </row>
    <row r="76" spans="1:9" ht="15.75" thickTop="1"/>
  </sheetData>
  <mergeCells count="31">
    <mergeCell ref="G65:I70"/>
    <mergeCell ref="G72:I75"/>
    <mergeCell ref="A55:G55"/>
    <mergeCell ref="A63:A75"/>
    <mergeCell ref="R8:S12"/>
    <mergeCell ref="N8:N12"/>
    <mergeCell ref="O8:P12"/>
    <mergeCell ref="Q8:Q12"/>
    <mergeCell ref="A58:A62"/>
    <mergeCell ref="B60:G60"/>
    <mergeCell ref="B61:G61"/>
    <mergeCell ref="B62:G62"/>
    <mergeCell ref="B64:F64"/>
    <mergeCell ref="B71:F71"/>
    <mergeCell ref="L2:M5"/>
    <mergeCell ref="K2:K5"/>
    <mergeCell ref="L8:M12"/>
    <mergeCell ref="B41:G41"/>
    <mergeCell ref="L15:M15"/>
    <mergeCell ref="L21:M21"/>
    <mergeCell ref="K8:K12"/>
    <mergeCell ref="K15:K19"/>
    <mergeCell ref="K21:K27"/>
    <mergeCell ref="L29:M29"/>
    <mergeCell ref="K29:K33"/>
    <mergeCell ref="A1:G1"/>
    <mergeCell ref="B48:G48"/>
    <mergeCell ref="B56:G56"/>
    <mergeCell ref="B57:G57"/>
    <mergeCell ref="B59:G59"/>
    <mergeCell ref="B58:G58"/>
  </mergeCells>
  <phoneticPr fontId="28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CA74-3262-4C9A-B0E1-40FA909DB90F}">
  <sheetPr codeName="Foglio7"/>
  <dimension ref="A1:O15"/>
  <sheetViews>
    <sheetView workbookViewId="0">
      <selection activeCell="K19" sqref="K18:K19"/>
    </sheetView>
  </sheetViews>
  <sheetFormatPr defaultRowHeight="15"/>
  <cols>
    <col min="2" max="2" width="16.7109375" bestFit="1" customWidth="1"/>
    <col min="3" max="3" width="16.7109375" customWidth="1"/>
    <col min="4" max="4" width="11.85546875" bestFit="1" customWidth="1"/>
    <col min="5" max="5" width="11.85546875" customWidth="1"/>
    <col min="6" max="6" width="20.85546875" bestFit="1" customWidth="1"/>
    <col min="7" max="7" width="20.7109375" bestFit="1" customWidth="1"/>
    <col min="8" max="8" width="10.5703125" customWidth="1"/>
    <col min="9" max="9" width="6.85546875" bestFit="1" customWidth="1"/>
    <col min="10" max="10" width="7" bestFit="1" customWidth="1"/>
    <col min="11" max="12" width="19.7109375" bestFit="1" customWidth="1"/>
    <col min="13" max="13" width="10.140625" bestFit="1" customWidth="1"/>
    <col min="14" max="14" width="15.28515625" bestFit="1" customWidth="1"/>
    <col min="15" max="15" width="23.5703125" bestFit="1" customWidth="1"/>
  </cols>
  <sheetData>
    <row r="1" spans="1:15" ht="26.25">
      <c r="A1" s="409" t="s">
        <v>293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</row>
    <row r="2" spans="1:15" ht="18.75">
      <c r="A2" s="217"/>
      <c r="B2" s="207" t="s">
        <v>279</v>
      </c>
      <c r="C2" s="207" t="s">
        <v>333</v>
      </c>
      <c r="D2" s="207" t="s">
        <v>280</v>
      </c>
      <c r="E2" s="207" t="s">
        <v>291</v>
      </c>
      <c r="F2" s="207" t="s">
        <v>281</v>
      </c>
      <c r="G2" s="208" t="s">
        <v>286</v>
      </c>
      <c r="H2" s="208" t="s">
        <v>290</v>
      </c>
      <c r="I2" s="207" t="s">
        <v>275</v>
      </c>
      <c r="J2" s="207" t="s">
        <v>276</v>
      </c>
      <c r="K2" s="207" t="s">
        <v>294</v>
      </c>
      <c r="L2" s="207" t="s">
        <v>277</v>
      </c>
      <c r="M2" s="207" t="s">
        <v>278</v>
      </c>
      <c r="N2" s="213" t="s">
        <v>295</v>
      </c>
      <c r="O2" s="249" t="s">
        <v>296</v>
      </c>
    </row>
    <row r="3" spans="1:15" ht="30">
      <c r="A3" s="207" t="s">
        <v>268</v>
      </c>
      <c r="B3" s="210" t="s">
        <v>282</v>
      </c>
      <c r="C3" s="210"/>
      <c r="D3" s="211" t="s">
        <v>283</v>
      </c>
      <c r="E3" s="216" t="s">
        <v>292</v>
      </c>
      <c r="F3" s="211" t="s">
        <v>284</v>
      </c>
      <c r="G3" s="210" t="s">
        <v>285</v>
      </c>
      <c r="H3" s="218" t="s">
        <v>299</v>
      </c>
      <c r="I3" s="216" t="s">
        <v>292</v>
      </c>
      <c r="J3" s="219" t="s">
        <v>300</v>
      </c>
      <c r="K3" s="212" t="s">
        <v>297</v>
      </c>
      <c r="L3" s="29"/>
      <c r="M3" s="219" t="s">
        <v>300</v>
      </c>
      <c r="N3" s="216" t="s">
        <v>292</v>
      </c>
      <c r="O3" s="211" t="s">
        <v>287</v>
      </c>
    </row>
    <row r="4" spans="1:15" ht="45">
      <c r="A4" s="207" t="s">
        <v>269</v>
      </c>
      <c r="B4" s="218" t="s">
        <v>302</v>
      </c>
      <c r="C4" s="218"/>
      <c r="D4" s="220" t="s">
        <v>298</v>
      </c>
      <c r="E4" s="216" t="s">
        <v>292</v>
      </c>
      <c r="F4" s="220" t="s">
        <v>303</v>
      </c>
      <c r="G4" s="220" t="s">
        <v>304</v>
      </c>
      <c r="H4" s="218" t="s">
        <v>299</v>
      </c>
      <c r="I4" s="216" t="s">
        <v>292</v>
      </c>
      <c r="J4" s="219" t="s">
        <v>300</v>
      </c>
      <c r="K4" s="69" t="s">
        <v>301</v>
      </c>
      <c r="L4" s="29"/>
      <c r="M4" s="216" t="s">
        <v>292</v>
      </c>
      <c r="N4" s="216" t="s">
        <v>292</v>
      </c>
      <c r="O4" s="29"/>
    </row>
    <row r="5" spans="1:15" ht="60">
      <c r="A5" s="207" t="s">
        <v>270</v>
      </c>
      <c r="B5" s="241" t="s">
        <v>325</v>
      </c>
      <c r="C5" s="241"/>
      <c r="D5" s="242" t="s">
        <v>326</v>
      </c>
      <c r="E5" s="242" t="s">
        <v>327</v>
      </c>
      <c r="F5" s="244" t="s">
        <v>330</v>
      </c>
      <c r="G5" s="241" t="s">
        <v>328</v>
      </c>
      <c r="H5" s="243" t="s">
        <v>329</v>
      </c>
      <c r="I5" s="216" t="s">
        <v>292</v>
      </c>
      <c r="J5" s="219" t="s">
        <v>300</v>
      </c>
      <c r="K5" s="212" t="s">
        <v>297</v>
      </c>
      <c r="L5" s="29"/>
      <c r="M5" s="216" t="s">
        <v>292</v>
      </c>
      <c r="N5" s="216" t="s">
        <v>292</v>
      </c>
      <c r="O5" s="29"/>
    </row>
    <row r="6" spans="1:15" ht="45">
      <c r="A6" s="207" t="s">
        <v>271</v>
      </c>
      <c r="B6" s="245" t="s">
        <v>332</v>
      </c>
      <c r="C6" s="245" t="s">
        <v>334</v>
      </c>
      <c r="D6" s="246" t="s">
        <v>335</v>
      </c>
      <c r="E6" s="245" t="s">
        <v>336</v>
      </c>
      <c r="F6" s="245" t="s">
        <v>337</v>
      </c>
      <c r="G6" s="246" t="s">
        <v>331</v>
      </c>
      <c r="H6" s="254" t="s">
        <v>354</v>
      </c>
      <c r="I6" s="219" t="s">
        <v>300</v>
      </c>
      <c r="J6" s="219" t="s">
        <v>300</v>
      </c>
      <c r="K6" s="246" t="s">
        <v>338</v>
      </c>
      <c r="L6" s="246" t="s">
        <v>345</v>
      </c>
      <c r="M6" s="216" t="s">
        <v>292</v>
      </c>
      <c r="N6" s="252" t="s">
        <v>301</v>
      </c>
      <c r="O6" s="253" t="s">
        <v>352</v>
      </c>
    </row>
    <row r="7" spans="1:15" ht="45">
      <c r="A7" s="207" t="s">
        <v>272</v>
      </c>
      <c r="B7" s="254" t="s">
        <v>347</v>
      </c>
      <c r="C7" s="254" t="s">
        <v>346</v>
      </c>
      <c r="D7" s="253" t="s">
        <v>348</v>
      </c>
      <c r="E7" s="254" t="s">
        <v>349</v>
      </c>
      <c r="F7" s="254" t="s">
        <v>350</v>
      </c>
      <c r="G7" s="253" t="s">
        <v>351</v>
      </c>
      <c r="H7" s="254" t="s">
        <v>354</v>
      </c>
      <c r="I7" s="216" t="s">
        <v>292</v>
      </c>
      <c r="J7" s="219" t="s">
        <v>300</v>
      </c>
      <c r="K7" s="69" t="s">
        <v>301</v>
      </c>
      <c r="L7" s="29"/>
      <c r="M7" s="216" t="s">
        <v>292</v>
      </c>
      <c r="N7" s="29"/>
      <c r="O7" s="29"/>
    </row>
    <row r="8" spans="1:15" ht="18.75">
      <c r="A8" s="207" t="s">
        <v>273</v>
      </c>
      <c r="B8" s="209"/>
      <c r="C8" s="209"/>
      <c r="D8" s="209"/>
      <c r="E8" s="209"/>
      <c r="F8" s="209"/>
      <c r="G8" s="209"/>
      <c r="H8" s="209"/>
      <c r="I8" s="29"/>
      <c r="J8" s="29"/>
      <c r="K8" s="29"/>
      <c r="L8" s="29"/>
      <c r="M8" s="29"/>
      <c r="N8" s="29"/>
      <c r="O8" s="247" t="s">
        <v>353</v>
      </c>
    </row>
    <row r="9" spans="1:15" ht="18.75">
      <c r="A9" s="207" t="s">
        <v>274</v>
      </c>
      <c r="B9" s="209"/>
      <c r="C9" s="209"/>
      <c r="D9" s="209"/>
      <c r="E9" s="209"/>
      <c r="F9" s="209"/>
      <c r="G9" s="209"/>
      <c r="H9" s="209"/>
      <c r="I9" s="29"/>
      <c r="J9" s="29"/>
      <c r="K9" s="29"/>
      <c r="L9" s="29"/>
      <c r="M9" s="29"/>
      <c r="N9" s="29"/>
      <c r="O9" s="29"/>
    </row>
    <row r="12" spans="1:15">
      <c r="A12" s="206"/>
      <c r="B12" s="413" t="s">
        <v>288</v>
      </c>
      <c r="C12" s="413"/>
      <c r="D12" s="414"/>
    </row>
    <row r="13" spans="1:15">
      <c r="A13" s="248"/>
      <c r="B13" s="415" t="s">
        <v>340</v>
      </c>
      <c r="C13" s="416"/>
      <c r="D13" s="416"/>
    </row>
    <row r="14" spans="1:15">
      <c r="A14" s="214"/>
      <c r="B14" s="411" t="s">
        <v>289</v>
      </c>
      <c r="C14" s="411"/>
      <c r="D14" s="411"/>
    </row>
    <row r="15" spans="1:15">
      <c r="A15" s="215"/>
      <c r="B15" s="412" t="s">
        <v>339</v>
      </c>
      <c r="C15" s="411"/>
      <c r="D15" s="411"/>
    </row>
  </sheetData>
  <mergeCells count="5">
    <mergeCell ref="A1:O1"/>
    <mergeCell ref="B14:D14"/>
    <mergeCell ref="B15:D15"/>
    <mergeCell ref="B12:D12"/>
    <mergeCell ref="B13:D13"/>
  </mergeCells>
  <phoneticPr fontId="3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3146-054C-40BC-BF69-0698F3647B2E}">
  <dimension ref="A1:D15"/>
  <sheetViews>
    <sheetView workbookViewId="0">
      <selection sqref="A1:D2"/>
    </sheetView>
  </sheetViews>
  <sheetFormatPr defaultRowHeight="15"/>
  <cols>
    <col min="1" max="1" width="15.85546875" style="57" bestFit="1" customWidth="1"/>
    <col min="2" max="2" width="28.42578125" style="57" bestFit="1" customWidth="1"/>
    <col min="3" max="16384" width="9.140625" style="57"/>
  </cols>
  <sheetData>
    <row r="1" spans="1:4" ht="15" customHeight="1">
      <c r="A1" s="417" t="s">
        <v>361</v>
      </c>
      <c r="B1" s="417"/>
      <c r="C1" s="417"/>
      <c r="D1" s="417"/>
    </row>
    <row r="2" spans="1:4">
      <c r="A2" s="417"/>
      <c r="B2" s="417"/>
      <c r="C2" s="417"/>
      <c r="D2" s="417"/>
    </row>
    <row r="3" spans="1:4">
      <c r="A3" s="373" t="s">
        <v>356</v>
      </c>
      <c r="B3" s="373"/>
      <c r="C3" s="373"/>
      <c r="D3" s="373"/>
    </row>
    <row r="4" spans="1:4">
      <c r="A4" s="57" t="s">
        <v>360</v>
      </c>
      <c r="B4" s="57" t="s">
        <v>359</v>
      </c>
      <c r="C4" s="57" t="s">
        <v>357</v>
      </c>
      <c r="D4" s="57" t="s">
        <v>358</v>
      </c>
    </row>
    <row r="5" spans="1:4" ht="30">
      <c r="A5" s="258">
        <v>45779.291666666664</v>
      </c>
      <c r="B5" s="257" t="s">
        <v>363</v>
      </c>
      <c r="C5" s="57">
        <v>20</v>
      </c>
    </row>
    <row r="6" spans="1:4" ht="30">
      <c r="A6" s="258">
        <v>45779.333333333336</v>
      </c>
      <c r="B6" s="257" t="s">
        <v>362</v>
      </c>
      <c r="D6" s="57">
        <v>5</v>
      </c>
    </row>
    <row r="7" spans="1:4" ht="30">
      <c r="A7" s="258">
        <v>45779.479166666664</v>
      </c>
      <c r="B7" s="257" t="s">
        <v>364</v>
      </c>
      <c r="C7" s="57">
        <v>10.25</v>
      </c>
    </row>
    <row r="8" spans="1:4">
      <c r="A8" s="258">
        <v>45779.791666666664</v>
      </c>
      <c r="B8" s="57" t="s">
        <v>365</v>
      </c>
      <c r="D8" s="57">
        <v>4.3</v>
      </c>
    </row>
    <row r="9" spans="1:4">
      <c r="A9" s="258">
        <v>45779.8125</v>
      </c>
      <c r="B9" s="57" t="s">
        <v>366</v>
      </c>
      <c r="C9" s="57">
        <v>5</v>
      </c>
      <c r="D9" s="57">
        <v>15</v>
      </c>
    </row>
    <row r="10" spans="1:4">
      <c r="A10" s="258">
        <v>45780.395833333336</v>
      </c>
      <c r="B10" s="57" t="s">
        <v>367</v>
      </c>
      <c r="D10" s="57">
        <v>6</v>
      </c>
    </row>
    <row r="11" spans="1:4">
      <c r="A11" s="258">
        <v>45780.541666666664</v>
      </c>
      <c r="B11" s="57" t="s">
        <v>368</v>
      </c>
      <c r="C11" s="57">
        <v>9</v>
      </c>
      <c r="D11" s="57">
        <v>10</v>
      </c>
    </row>
    <row r="12" spans="1:4">
      <c r="A12" s="258">
        <v>45780.833333333336</v>
      </c>
      <c r="B12" s="57" t="s">
        <v>369</v>
      </c>
      <c r="D12" s="57">
        <v>55</v>
      </c>
    </row>
    <row r="13" spans="1:4" ht="30">
      <c r="A13" s="258">
        <v>45781.791666666664</v>
      </c>
      <c r="B13" s="257" t="s">
        <v>370</v>
      </c>
      <c r="C13" s="57">
        <v>5</v>
      </c>
    </row>
    <row r="14" spans="1:4">
      <c r="A14" s="258">
        <v>45781.833333333336</v>
      </c>
      <c r="B14" s="57" t="s">
        <v>371</v>
      </c>
      <c r="C14" s="57">
        <v>10</v>
      </c>
      <c r="D14" s="57">
        <v>10</v>
      </c>
    </row>
    <row r="15" spans="1:4">
      <c r="B15" s="57" t="s">
        <v>314</v>
      </c>
      <c r="C15" s="57">
        <f>SUM(C5:C14)</f>
        <v>59.25</v>
      </c>
      <c r="D15" s="57">
        <f>SUM(D5:D14)</f>
        <v>105.3</v>
      </c>
    </row>
  </sheetData>
  <mergeCells count="2">
    <mergeCell ref="A1:D2"/>
    <mergeCell ref="A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3062B-348E-48F9-BB85-A40B3DCE8524}">
  <dimension ref="A1:O10"/>
  <sheetViews>
    <sheetView workbookViewId="0">
      <selection activeCell="C13" sqref="C13:C14"/>
    </sheetView>
  </sheetViews>
  <sheetFormatPr defaultRowHeight="15"/>
  <cols>
    <col min="1" max="1" width="17.42578125" style="57" bestFit="1" customWidth="1"/>
    <col min="2" max="2" width="11" style="57" bestFit="1" customWidth="1"/>
    <col min="3" max="3" width="15.28515625" style="57" bestFit="1" customWidth="1"/>
    <col min="4" max="4" width="24.85546875" style="57" bestFit="1" customWidth="1"/>
    <col min="5" max="5" width="16" style="57" bestFit="1" customWidth="1"/>
    <col min="6" max="6" width="12" style="57" customWidth="1"/>
    <col min="7" max="7" width="11.140625" style="57" customWidth="1"/>
    <col min="8" max="8" width="11.85546875" style="57" bestFit="1" customWidth="1"/>
    <col min="9" max="9" width="14.7109375" style="57" bestFit="1" customWidth="1"/>
    <col min="10" max="10" width="15.85546875" style="57" bestFit="1" customWidth="1"/>
    <col min="11" max="11" width="15.85546875" style="57" customWidth="1"/>
    <col min="12" max="12" width="13.5703125" style="57" customWidth="1"/>
    <col min="13" max="13" width="37.140625" style="57" customWidth="1"/>
    <col min="14" max="14" width="15.7109375" style="57" bestFit="1" customWidth="1"/>
    <col min="15" max="15" width="33.85546875" style="57" bestFit="1" customWidth="1"/>
    <col min="16" max="16384" width="9.140625" style="57"/>
  </cols>
  <sheetData>
    <row r="1" spans="1:15">
      <c r="A1" s="33" t="s">
        <v>392</v>
      </c>
      <c r="B1" s="33" t="s">
        <v>393</v>
      </c>
      <c r="C1" s="266" t="s">
        <v>387</v>
      </c>
      <c r="D1" s="266" t="s">
        <v>396</v>
      </c>
      <c r="E1" s="266" t="s">
        <v>388</v>
      </c>
      <c r="F1" s="418" t="s">
        <v>105</v>
      </c>
      <c r="G1" s="419"/>
      <c r="H1" s="267" t="s">
        <v>389</v>
      </c>
      <c r="I1" s="266" t="s">
        <v>391</v>
      </c>
      <c r="J1" s="266" t="s">
        <v>394</v>
      </c>
      <c r="K1" s="266" t="s">
        <v>395</v>
      </c>
      <c r="L1" s="266" t="s">
        <v>398</v>
      </c>
      <c r="M1" s="266" t="s">
        <v>399</v>
      </c>
      <c r="N1" s="266" t="s">
        <v>390</v>
      </c>
      <c r="O1" s="266" t="s">
        <v>397</v>
      </c>
    </row>
    <row r="2" spans="1:15">
      <c r="A2" s="268">
        <v>1200</v>
      </c>
      <c r="B2" s="268">
        <f>E2</f>
        <v>600</v>
      </c>
      <c r="C2" s="268">
        <v>1200</v>
      </c>
      <c r="D2" s="268">
        <v>0</v>
      </c>
      <c r="E2" s="268">
        <f>A2/2</f>
        <v>600</v>
      </c>
      <c r="F2" s="269">
        <v>4</v>
      </c>
      <c r="G2" s="270">
        <f>F2*12</f>
        <v>48</v>
      </c>
      <c r="H2" s="29">
        <v>3</v>
      </c>
      <c r="I2" s="268">
        <f>C2+(E2*G2)</f>
        <v>30000</v>
      </c>
      <c r="J2" s="268">
        <f>L2/G2</f>
        <v>39.823305725656688</v>
      </c>
      <c r="K2" s="268">
        <f>L2/12</f>
        <v>159.29322290262675</v>
      </c>
      <c r="L2" s="268">
        <f>N2-I2</f>
        <v>1911.5186748315209</v>
      </c>
      <c r="M2" s="268"/>
      <c r="N2" s="268">
        <f>C2*(1+(H2/100)/12)^(12*F2) + E2 * ((1 + (H2/100)/12)^(12*F2) - 1) / ((H2/100)/12)</f>
        <v>31911.518674831521</v>
      </c>
      <c r="O2" s="29"/>
    </row>
    <row r="3" spans="1:15">
      <c r="A3" s="268">
        <v>1600</v>
      </c>
      <c r="B3" s="268">
        <f t="shared" ref="B3:B5" si="0">E3</f>
        <v>800</v>
      </c>
      <c r="C3" s="268">
        <f>N2</f>
        <v>31911.518674831521</v>
      </c>
      <c r="D3" s="268">
        <f>C3-L2</f>
        <v>30000</v>
      </c>
      <c r="E3" s="268">
        <f>A3/2</f>
        <v>800</v>
      </c>
      <c r="F3" s="269">
        <v>6</v>
      </c>
      <c r="G3" s="270">
        <f>F3*12</f>
        <v>72</v>
      </c>
      <c r="H3" s="29">
        <v>3</v>
      </c>
      <c r="I3" s="268">
        <f>C3+(E3*G3)</f>
        <v>89511.518674831517</v>
      </c>
      <c r="J3" s="268">
        <f>L3/G3</f>
        <v>162.6171431977879</v>
      </c>
      <c r="K3" s="268">
        <f t="shared" ref="K3:K5" si="1">L3/12</f>
        <v>975.70285918672744</v>
      </c>
      <c r="L3" s="268">
        <f>N3-I3</f>
        <v>11708.434310240729</v>
      </c>
      <c r="M3" s="268">
        <f>O3-I3</f>
        <v>9420.4449617403152</v>
      </c>
      <c r="N3" s="268">
        <f>C3*(1+(H3/100)/12)^(12*F3) + E3 * ((1 + (H3/100)/12)^(12*F3) - 1) / ((H3/100)/12)</f>
        <v>101219.95298507225</v>
      </c>
      <c r="O3" s="268">
        <f>D3*(1+(H3/100)/12)^(12*F3) + E3 * ((1 + (H3/100)/12)^(12*F3) - 1) / ((H3/100)/12)</f>
        <v>98931.963636571832</v>
      </c>
    </row>
    <row r="4" spans="1:15">
      <c r="A4" s="268">
        <v>2500</v>
      </c>
      <c r="B4" s="268">
        <f>E4</f>
        <v>1250</v>
      </c>
      <c r="C4" s="268">
        <f>N3</f>
        <v>101219.95298507225</v>
      </c>
      <c r="D4" s="268">
        <f t="shared" ref="D4" si="2">C4-L3</f>
        <v>89511.518674831517</v>
      </c>
      <c r="E4" s="268">
        <f>A4/2</f>
        <v>1250</v>
      </c>
      <c r="F4" s="269">
        <v>10</v>
      </c>
      <c r="G4" s="270">
        <f t="shared" ref="G4:G5" si="3">F4*12</f>
        <v>120</v>
      </c>
      <c r="H4" s="29">
        <v>3</v>
      </c>
      <c r="I4" s="268">
        <f t="shared" ref="I4:I5" si="4">C4+(E4*G4)</f>
        <v>251219.95298507225</v>
      </c>
      <c r="J4" s="268">
        <f>L4/G4</f>
        <v>500.3193601436372</v>
      </c>
      <c r="K4" s="268">
        <f t="shared" si="1"/>
        <v>5003.1936014363719</v>
      </c>
      <c r="L4" s="268">
        <f>N4-I4</f>
        <v>60038.323217236466</v>
      </c>
      <c r="M4" s="268">
        <f t="shared" ref="M4" si="5">O4-I4</f>
        <v>44239.505848662375</v>
      </c>
      <c r="N4" s="268">
        <f>C4*(1+(H4/100)/12)^(12*F4) + E4 * ((1 + (H4/100)/12)^(12*F4) - 1) / ((H4/100)/12)</f>
        <v>311258.27620230871</v>
      </c>
      <c r="O4" s="268">
        <f>D4*(1+(H4/100)/12)^(12*F4) + E4 * ((1 + (H4/100)/12)^(12*F4) - 1) / ((H4/100)/12)</f>
        <v>295459.45883373462</v>
      </c>
    </row>
    <row r="5" spans="1:15">
      <c r="A5" s="268">
        <v>5000</v>
      </c>
      <c r="B5" s="268">
        <f t="shared" si="0"/>
        <v>2500</v>
      </c>
      <c r="C5" s="268">
        <f>N4</f>
        <v>311258.27620230871</v>
      </c>
      <c r="D5" s="268">
        <f>C5-L4</f>
        <v>251219.95298507225</v>
      </c>
      <c r="E5" s="268">
        <f>A5/2</f>
        <v>2500</v>
      </c>
      <c r="F5" s="269">
        <v>20</v>
      </c>
      <c r="G5" s="270">
        <f t="shared" si="3"/>
        <v>240</v>
      </c>
      <c r="H5" s="29">
        <v>3</v>
      </c>
      <c r="I5" s="268">
        <f t="shared" si="4"/>
        <v>911258.27620230871</v>
      </c>
      <c r="J5" s="268">
        <f>L5/G5</f>
        <v>1984.2574180962586</v>
      </c>
      <c r="K5" s="268">
        <f t="shared" si="1"/>
        <v>39685.148361925174</v>
      </c>
      <c r="L5" s="268">
        <f>N5-I5</f>
        <v>476221.78034310206</v>
      </c>
      <c r="M5" s="268">
        <f>O5-I5</f>
        <v>366906.70343489433</v>
      </c>
      <c r="N5" s="268">
        <f>C5*(1+(H5/100)/12)^(12*F5) + E5 * ((1 + (H5/100)/12)^(12*F5) - 1) / ((H5/100)/12)</f>
        <v>1387480.0565454108</v>
      </c>
      <c r="O5" s="268">
        <f t="shared" ref="O5" si="6">D5*(1+(H5/100)/12)^(12*F5) + E5 * ((1 + (H5/100)/12)^(12*F5) - 1) / ((H5/100)/12)</f>
        <v>1278164.979637203</v>
      </c>
    </row>
    <row r="8" spans="1:15">
      <c r="A8" s="278" t="s">
        <v>408</v>
      </c>
      <c r="B8" s="278" t="s">
        <v>409</v>
      </c>
      <c r="C8" s="278" t="s">
        <v>410</v>
      </c>
      <c r="D8" s="278" t="s">
        <v>411</v>
      </c>
      <c r="E8" s="278" t="s">
        <v>412</v>
      </c>
    </row>
    <row r="10" spans="1:15" ht="42" customHeight="1">
      <c r="A10" s="420" t="s">
        <v>413</v>
      </c>
      <c r="B10" s="420"/>
      <c r="C10" s="420"/>
    </row>
  </sheetData>
  <mergeCells count="2">
    <mergeCell ref="F1:G1"/>
    <mergeCell ref="A10:C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Frasi</vt:lpstr>
      <vt:lpstr>Dinofroz List</vt:lpstr>
      <vt:lpstr>Cartucce List</vt:lpstr>
      <vt:lpstr>Spedizioni</vt:lpstr>
      <vt:lpstr>Spiegazione</vt:lpstr>
      <vt:lpstr>Allenamento giornaliero</vt:lpstr>
      <vt:lpstr>Progressi Settimanali</vt:lpstr>
      <vt:lpstr>Vacanza_Jade</vt:lpstr>
      <vt:lpstr>Investimenti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Forneron</dc:creator>
  <cp:lastModifiedBy>Mattia  Forneron</cp:lastModifiedBy>
  <dcterms:created xsi:type="dcterms:W3CDTF">2015-06-05T18:19:34Z</dcterms:created>
  <dcterms:modified xsi:type="dcterms:W3CDTF">2025-05-21T07:16:26Z</dcterms:modified>
</cp:coreProperties>
</file>