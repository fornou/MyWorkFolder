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mattia.forneron\Documents\GitHub\MyWorkFolder\myspace\"/>
    </mc:Choice>
  </mc:AlternateContent>
  <xr:revisionPtr revIDLastSave="0" documentId="13_ncr:1_{A78724A1-11A4-4F4C-9CC3-233197BD71F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oglio1" sheetId="1" r:id="rId1"/>
    <sheet name="Foglio2" sheetId="2" r:id="rId2"/>
    <sheet name="Foglio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F6" i="3"/>
  <c r="F2" i="3"/>
  <c r="F4" i="3"/>
  <c r="F8" i="3"/>
  <c r="F7" i="3"/>
  <c r="F5" i="3"/>
  <c r="F3" i="3"/>
  <c r="D7" i="3"/>
  <c r="D6" i="3"/>
  <c r="D8" i="3" l="1"/>
  <c r="G6" i="3" s="1"/>
  <c r="H6" i="3" s="1"/>
  <c r="D2" i="3"/>
  <c r="D4" i="3"/>
  <c r="D5" i="3"/>
  <c r="D3" i="3"/>
  <c r="H28" i="1"/>
  <c r="H27" i="1"/>
  <c r="H21" i="1"/>
  <c r="H22" i="1"/>
  <c r="G4" i="3" l="1"/>
  <c r="H4" i="3" s="1"/>
  <c r="I4" i="3" s="1"/>
  <c r="G2" i="3"/>
  <c r="H2" i="3" s="1"/>
  <c r="I2" i="3" s="1"/>
</calcChain>
</file>

<file path=xl/sharedStrings.xml><?xml version="1.0" encoding="utf-8"?>
<sst xmlns="http://schemas.openxmlformats.org/spreadsheetml/2006/main" count="196" uniqueCount="115">
  <si>
    <t>18.20/25</t>
  </si>
  <si>
    <t>19.40/45</t>
  </si>
  <si>
    <t>Allenamento</t>
  </si>
  <si>
    <t>19.50</t>
  </si>
  <si>
    <t>20.00</t>
  </si>
  <si>
    <t>Doccia</t>
  </si>
  <si>
    <t>23.00</t>
  </si>
  <si>
    <t>Addormentarsi</t>
  </si>
  <si>
    <t>7.00</t>
  </si>
  <si>
    <t>Svegliarsi</t>
  </si>
  <si>
    <t>Dexter</t>
  </si>
  <si>
    <t>Cena</t>
  </si>
  <si>
    <t>Scrivere a Christian</t>
  </si>
  <si>
    <t>Test su telefoni e sim</t>
  </si>
  <si>
    <t>7.40/45</t>
  </si>
  <si>
    <t>8.00</t>
  </si>
  <si>
    <t>Macchina</t>
  </si>
  <si>
    <t xml:space="preserve">Sistemare orologio </t>
  </si>
  <si>
    <t>Lavarsi i denti</t>
  </si>
  <si>
    <t>Chiedere della banca</t>
  </si>
  <si>
    <t>Preparare pranzo</t>
  </si>
  <si>
    <t>23.00/15</t>
  </si>
  <si>
    <t>6.30/45</t>
  </si>
  <si>
    <t>6.45/7</t>
  </si>
  <si>
    <t>7.35</t>
  </si>
  <si>
    <t>Sistemarsi</t>
  </si>
  <si>
    <t xml:space="preserve">Leggere </t>
  </si>
  <si>
    <t>Colazione</t>
  </si>
  <si>
    <t>6.55/7.10</t>
  </si>
  <si>
    <t>10min</t>
  </si>
  <si>
    <t>1h20min</t>
  </si>
  <si>
    <t>3h</t>
  </si>
  <si>
    <t>23.15/30</t>
  </si>
  <si>
    <t>30min</t>
  </si>
  <si>
    <t>40min</t>
  </si>
  <si>
    <t>20min</t>
  </si>
  <si>
    <t>Inizio</t>
  </si>
  <si>
    <t>9.00</t>
  </si>
  <si>
    <t>8.20</t>
  </si>
  <si>
    <t>Lun</t>
  </si>
  <si>
    <t>Mart</t>
  </si>
  <si>
    <t>17.40/45</t>
  </si>
  <si>
    <t>19.00</t>
  </si>
  <si>
    <t>19.10</t>
  </si>
  <si>
    <t>19.15</t>
  </si>
  <si>
    <t>22.45/23</t>
  </si>
  <si>
    <t>Incline PushUps</t>
  </si>
  <si>
    <t>WorkOut 1</t>
  </si>
  <si>
    <t>Curl</t>
  </si>
  <si>
    <t>Panca Piana</t>
  </si>
  <si>
    <t>Tric</t>
  </si>
  <si>
    <t>10x4</t>
  </si>
  <si>
    <t>Trazioni</t>
  </si>
  <si>
    <t>5x2</t>
  </si>
  <si>
    <t>Trazioni 2</t>
  </si>
  <si>
    <t>5x4</t>
  </si>
  <si>
    <t>WorkOut 2</t>
  </si>
  <si>
    <t>Stacchi</t>
  </si>
  <si>
    <t>Alzate Lat</t>
  </si>
  <si>
    <t>Pushps</t>
  </si>
  <si>
    <t xml:space="preserve">Trazioni </t>
  </si>
  <si>
    <t>Rematore</t>
  </si>
  <si>
    <t>Shoulder Press Bil</t>
  </si>
  <si>
    <t>12x4</t>
  </si>
  <si>
    <t>WorkOut 3</t>
  </si>
  <si>
    <t>8-10x2</t>
  </si>
  <si>
    <t>8-10x4</t>
  </si>
  <si>
    <t>W3</t>
  </si>
  <si>
    <t>Excercise</t>
  </si>
  <si>
    <t>SET 1</t>
  </si>
  <si>
    <t>SET 2</t>
  </si>
  <si>
    <t>SET 3</t>
  </si>
  <si>
    <t>weight</t>
  </si>
  <si>
    <t>reps</t>
  </si>
  <si>
    <t>Pullups</t>
  </si>
  <si>
    <t>Dumbbell Curl</t>
  </si>
  <si>
    <t>Triceps Extension</t>
  </si>
  <si>
    <t>Addome con sedia</t>
  </si>
  <si>
    <t>Crunch leg up</t>
  </si>
  <si>
    <t>Crunch caviglie</t>
  </si>
  <si>
    <t>Leg Raises</t>
  </si>
  <si>
    <t>Reverse Crunch</t>
  </si>
  <si>
    <t xml:space="preserve">Shoulder Press </t>
  </si>
  <si>
    <t>Prezzo</t>
  </si>
  <si>
    <t>Data</t>
  </si>
  <si>
    <t>Promozione</t>
  </si>
  <si>
    <t>a</t>
  </si>
  <si>
    <t>b</t>
  </si>
  <si>
    <t>c</t>
  </si>
  <si>
    <t>d</t>
  </si>
  <si>
    <t>Scontato</t>
  </si>
  <si>
    <t>e</t>
  </si>
  <si>
    <t>f</t>
  </si>
  <si>
    <t>g</t>
  </si>
  <si>
    <t>Prodotto</t>
  </si>
  <si>
    <t>S25Ultra</t>
  </si>
  <si>
    <t>Caricatore 25W</t>
  </si>
  <si>
    <t>Scadenza</t>
  </si>
  <si>
    <t>Valore</t>
  </si>
  <si>
    <t>Tipo</t>
  </si>
  <si>
    <t>Cod</t>
  </si>
  <si>
    <t>Promo App - Sconto carrello</t>
  </si>
  <si>
    <t>Sconto direttamente a carrello</t>
  </si>
  <si>
    <t>Shop App - voucher AIBACK code</t>
  </si>
  <si>
    <t>Portatile in regalo</t>
  </si>
  <si>
    <t>Pagamento con SamsungPay</t>
  </si>
  <si>
    <t>Primo Acquisto</t>
  </si>
  <si>
    <t>Galaxy Book4 15.6" i3, 256G, 8G</t>
  </si>
  <si>
    <t>Data di primo acquisto</t>
  </si>
  <si>
    <t>Sconto a carrello</t>
  </si>
  <si>
    <t>h</t>
  </si>
  <si>
    <t>i</t>
  </si>
  <si>
    <t>Offerta</t>
  </si>
  <si>
    <t xml:space="preserve"> - (Costo PC/2)</t>
  </si>
  <si>
    <t xml:space="preserve">Totale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</si>
</sst>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99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6" fillId="7" borderId="0" applyNumberFormat="0" applyBorder="0" applyAlignment="0" applyProtection="0"/>
    <xf numFmtId="0" fontId="7" fillId="8" borderId="0" applyNumberFormat="0" applyBorder="0" applyAlignment="0" applyProtection="0"/>
    <xf numFmtId="0" fontId="8" fillId="9" borderId="0" applyNumberFormat="0" applyBorder="0" applyAlignment="0" applyProtection="0"/>
    <xf numFmtId="0" fontId="5" fillId="10" borderId="0" applyNumberFormat="0" applyBorder="0" applyAlignment="0" applyProtection="0"/>
    <xf numFmtId="0" fontId="3" fillId="11" borderId="0" applyNumberFormat="0" applyBorder="0" applyAlignment="0" applyProtection="0"/>
  </cellStyleXfs>
  <cellXfs count="130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2" fillId="4" borderId="14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left" vertical="center"/>
    </xf>
    <xf numFmtId="0" fontId="0" fillId="4" borderId="5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/>
    </xf>
    <xf numFmtId="0" fontId="0" fillId="5" borderId="10" xfId="0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0" fontId="0" fillId="5" borderId="7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/>
    </xf>
    <xf numFmtId="0" fontId="0" fillId="5" borderId="17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0" fillId="6" borderId="8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8" xfId="0" applyFont="1" applyFill="1" applyBorder="1" applyAlignment="1">
      <alignment horizontal="left" vertical="center"/>
    </xf>
    <xf numFmtId="0" fontId="0" fillId="6" borderId="17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8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/>
    </xf>
    <xf numFmtId="0" fontId="8" fillId="9" borderId="28" xfId="3" applyBorder="1" applyAlignment="1">
      <alignment horizontal="center" vertical="center"/>
    </xf>
    <xf numFmtId="0" fontId="8" fillId="9" borderId="43" xfId="3" applyBorder="1" applyAlignment="1">
      <alignment horizontal="center" vertical="center"/>
    </xf>
    <xf numFmtId="0" fontId="8" fillId="9" borderId="27" xfId="3" applyBorder="1" applyAlignment="1">
      <alignment horizontal="center" vertical="center"/>
    </xf>
    <xf numFmtId="0" fontId="8" fillId="9" borderId="35" xfId="3" applyBorder="1" applyAlignment="1">
      <alignment horizontal="center" vertical="center"/>
    </xf>
    <xf numFmtId="0" fontId="8" fillId="9" borderId="34" xfId="3" applyBorder="1" applyAlignment="1">
      <alignment horizontal="center" vertical="center"/>
    </xf>
    <xf numFmtId="0" fontId="8" fillId="9" borderId="26" xfId="3" applyBorder="1" applyAlignment="1">
      <alignment horizontal="center" vertical="center"/>
    </xf>
    <xf numFmtId="0" fontId="8" fillId="9" borderId="1" xfId="3" applyBorder="1" applyAlignment="1">
      <alignment horizontal="center" vertical="center"/>
    </xf>
    <xf numFmtId="0" fontId="8" fillId="9" borderId="32" xfId="3" applyBorder="1" applyAlignment="1">
      <alignment horizontal="center" vertical="center"/>
    </xf>
    <xf numFmtId="0" fontId="6" fillId="7" borderId="33" xfId="1" applyBorder="1" applyAlignment="1">
      <alignment horizontal="center" vertical="center"/>
    </xf>
    <xf numFmtId="0" fontId="6" fillId="7" borderId="24" xfId="1" applyBorder="1" applyAlignment="1">
      <alignment horizontal="center" vertical="center"/>
    </xf>
    <xf numFmtId="0" fontId="6" fillId="7" borderId="4" xfId="1" applyBorder="1" applyAlignment="1">
      <alignment horizontal="center" vertical="center"/>
    </xf>
    <xf numFmtId="0" fontId="6" fillId="7" borderId="34" xfId="1" applyBorder="1" applyAlignment="1">
      <alignment horizontal="center" vertical="center"/>
    </xf>
    <xf numFmtId="0" fontId="6" fillId="7" borderId="26" xfId="1" applyBorder="1" applyAlignment="1">
      <alignment horizontal="center" vertical="center"/>
    </xf>
    <xf numFmtId="0" fontId="6" fillId="7" borderId="1" xfId="1" applyBorder="1" applyAlignment="1">
      <alignment horizontal="center" vertical="center"/>
    </xf>
    <xf numFmtId="0" fontId="6" fillId="7" borderId="32" xfId="1" applyBorder="1" applyAlignment="1">
      <alignment horizontal="center" vertical="center"/>
    </xf>
    <xf numFmtId="0" fontId="6" fillId="7" borderId="43" xfId="1" applyBorder="1" applyAlignment="1">
      <alignment horizontal="center" vertical="center"/>
    </xf>
    <xf numFmtId="0" fontId="6" fillId="7" borderId="27" xfId="1" applyBorder="1" applyAlignment="1">
      <alignment horizontal="center" vertical="center"/>
    </xf>
    <xf numFmtId="0" fontId="6" fillId="7" borderId="28" xfId="1" applyBorder="1" applyAlignment="1">
      <alignment horizontal="center" vertical="center"/>
    </xf>
    <xf numFmtId="0" fontId="7" fillId="8" borderId="34" xfId="2" applyBorder="1" applyAlignment="1">
      <alignment horizontal="center" vertical="center"/>
    </xf>
    <xf numFmtId="0" fontId="7" fillId="8" borderId="26" xfId="2" applyBorder="1" applyAlignment="1">
      <alignment horizontal="center" vertical="center"/>
    </xf>
    <xf numFmtId="0" fontId="7" fillId="8" borderId="1" xfId="2" applyBorder="1" applyAlignment="1">
      <alignment horizontal="center" vertical="center"/>
    </xf>
    <xf numFmtId="0" fontId="7" fillId="8" borderId="33" xfId="2" applyBorder="1" applyAlignment="1">
      <alignment horizontal="center" vertical="center"/>
    </xf>
    <xf numFmtId="0" fontId="7" fillId="8" borderId="24" xfId="2" applyBorder="1" applyAlignment="1">
      <alignment horizontal="center" vertical="center"/>
    </xf>
    <xf numFmtId="0" fontId="7" fillId="8" borderId="4" xfId="2" applyBorder="1" applyAlignment="1">
      <alignment horizontal="center" vertical="center"/>
    </xf>
    <xf numFmtId="0" fontId="9" fillId="10" borderId="32" xfId="4" applyFont="1" applyBorder="1" applyAlignment="1">
      <alignment horizontal="center" vertical="center"/>
    </xf>
    <xf numFmtId="0" fontId="10" fillId="11" borderId="25" xfId="5" applyFont="1" applyBorder="1" applyAlignment="1">
      <alignment horizontal="center" vertical="center"/>
    </xf>
    <xf numFmtId="0" fontId="6" fillId="7" borderId="46" xfId="1" applyBorder="1" applyAlignment="1">
      <alignment horizontal="center" vertical="center"/>
    </xf>
    <xf numFmtId="0" fontId="7" fillId="8" borderId="31" xfId="2" applyBorder="1" applyAlignment="1">
      <alignment horizontal="center" vertical="center"/>
    </xf>
    <xf numFmtId="0" fontId="8" fillId="9" borderId="47" xfId="3" applyBorder="1" applyAlignment="1">
      <alignment horizontal="center" vertical="center"/>
    </xf>
    <xf numFmtId="0" fontId="7" fillId="8" borderId="47" xfId="2" applyBorder="1" applyAlignment="1">
      <alignment horizontal="center" vertical="center"/>
    </xf>
    <xf numFmtId="0" fontId="9" fillId="10" borderId="31" xfId="4" applyFont="1" applyBorder="1" applyAlignment="1">
      <alignment horizontal="center" vertical="center"/>
    </xf>
    <xf numFmtId="0" fontId="9" fillId="10" borderId="47" xfId="4" applyFont="1" applyBorder="1" applyAlignment="1">
      <alignment horizontal="center" vertical="center"/>
    </xf>
    <xf numFmtId="0" fontId="6" fillId="7" borderId="31" xfId="1" applyBorder="1" applyAlignment="1">
      <alignment horizontal="center" vertical="center"/>
    </xf>
    <xf numFmtId="0" fontId="6" fillId="7" borderId="47" xfId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1" fillId="12" borderId="48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4" fontId="0" fillId="0" borderId="46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4" fontId="0" fillId="0" borderId="47" xfId="0" applyNumberFormat="1" applyBorder="1" applyAlignment="1">
      <alignment horizontal="center" vertical="center"/>
    </xf>
    <xf numFmtId="14" fontId="0" fillId="0" borderId="47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47" xfId="0" applyNumberFormat="1" applyBorder="1" applyAlignment="1">
      <alignment horizontal="center" vertical="center"/>
    </xf>
    <xf numFmtId="22" fontId="0" fillId="0" borderId="3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10" fillId="11" borderId="44" xfId="5" applyFont="1" applyBorder="1" applyAlignment="1">
      <alignment horizontal="center" vertical="center"/>
    </xf>
    <xf numFmtId="0" fontId="10" fillId="11" borderId="45" xfId="5" applyFont="1" applyBorder="1" applyAlignment="1">
      <alignment horizontal="center" vertical="center"/>
    </xf>
    <xf numFmtId="0" fontId="10" fillId="11" borderId="42" xfId="5" applyFont="1" applyBorder="1" applyAlignment="1">
      <alignment horizontal="center" vertical="center"/>
    </xf>
    <xf numFmtId="0" fontId="10" fillId="11" borderId="31" xfId="5" applyFont="1" applyBorder="1" applyAlignment="1">
      <alignment horizontal="center" vertical="center"/>
    </xf>
    <xf numFmtId="0" fontId="10" fillId="11" borderId="32" xfId="5" applyFont="1" applyBorder="1" applyAlignment="1">
      <alignment horizontal="center" vertical="center"/>
    </xf>
    <xf numFmtId="49" fontId="10" fillId="11" borderId="29" xfId="5" applyNumberFormat="1" applyFont="1" applyBorder="1" applyAlignment="1">
      <alignment horizontal="center" vertical="center"/>
    </xf>
    <xf numFmtId="49" fontId="10" fillId="11" borderId="30" xfId="5" applyNumberFormat="1" applyFont="1" applyBorder="1" applyAlignment="1">
      <alignment horizontal="center" vertical="center"/>
    </xf>
    <xf numFmtId="0" fontId="9" fillId="10" borderId="36" xfId="4" applyFont="1" applyBorder="1" applyAlignment="1">
      <alignment horizontal="center" vertical="center"/>
    </xf>
    <xf numFmtId="0" fontId="9" fillId="10" borderId="37" xfId="4" applyFont="1" applyBorder="1" applyAlignment="1">
      <alignment horizontal="center" vertical="center"/>
    </xf>
    <xf numFmtId="0" fontId="9" fillId="10" borderId="38" xfId="4" applyFont="1" applyBorder="1" applyAlignment="1">
      <alignment horizontal="center" vertical="center"/>
    </xf>
    <xf numFmtId="0" fontId="9" fillId="10" borderId="39" xfId="4" applyFont="1" applyBorder="1" applyAlignment="1">
      <alignment horizontal="center" vertical="center"/>
    </xf>
    <xf numFmtId="0" fontId="9" fillId="10" borderId="40" xfId="4" applyFont="1" applyBorder="1" applyAlignment="1">
      <alignment horizontal="center" vertical="center"/>
    </xf>
    <xf numFmtId="0" fontId="9" fillId="10" borderId="41" xfId="4" applyFont="1" applyBorder="1" applyAlignment="1">
      <alignment horizontal="center" vertical="center"/>
    </xf>
    <xf numFmtId="164" fontId="0" fillId="14" borderId="31" xfId="0" applyNumberFormat="1" applyFill="1" applyBorder="1" applyAlignment="1">
      <alignment horizontal="center" vertical="center"/>
    </xf>
    <xf numFmtId="164" fontId="0" fillId="14" borderId="32" xfId="0" applyNumberFormat="1" applyFill="1" applyBorder="1" applyAlignment="1">
      <alignment horizontal="center" vertical="center"/>
    </xf>
    <xf numFmtId="164" fontId="0" fillId="13" borderId="31" xfId="0" applyNumberFormat="1" applyFill="1" applyBorder="1" applyAlignment="1">
      <alignment horizontal="center" vertical="center"/>
    </xf>
    <xf numFmtId="164" fontId="0" fillId="13" borderId="32" xfId="0" applyNumberFormat="1" applyFill="1" applyBorder="1" applyAlignment="1">
      <alignment horizontal="center" vertical="center"/>
    </xf>
    <xf numFmtId="164" fontId="0" fillId="15" borderId="51" xfId="0" applyNumberFormat="1" applyFill="1" applyBorder="1" applyAlignment="1">
      <alignment horizontal="center" vertical="center"/>
    </xf>
    <xf numFmtId="164" fontId="0" fillId="15" borderId="52" xfId="0" applyNumberFormat="1" applyFill="1" applyBorder="1" applyAlignment="1">
      <alignment horizontal="center" vertical="center"/>
    </xf>
    <xf numFmtId="164" fontId="0" fillId="15" borderId="25" xfId="0" applyNumberFormat="1" applyFill="1" applyBorder="1" applyAlignment="1">
      <alignment horizontal="center" vertical="center"/>
    </xf>
    <xf numFmtId="164" fontId="0" fillId="14" borderId="51" xfId="0" applyNumberFormat="1" applyFill="1" applyBorder="1" applyAlignment="1">
      <alignment horizontal="center" vertical="center"/>
    </xf>
    <xf numFmtId="164" fontId="0" fillId="14" borderId="52" xfId="0" applyNumberFormat="1" applyFill="1" applyBorder="1" applyAlignment="1">
      <alignment horizontal="center" vertical="center"/>
    </xf>
    <xf numFmtId="164" fontId="0" fillId="14" borderId="25" xfId="0" applyNumberFormat="1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164" fontId="0" fillId="0" borderId="31" xfId="0" applyNumberFormat="1" applyFill="1" applyBorder="1" applyAlignment="1">
      <alignment horizontal="center" vertical="center"/>
    </xf>
    <xf numFmtId="14" fontId="0" fillId="0" borderId="31" xfId="0" applyNumberFormat="1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164" fontId="0" fillId="0" borderId="32" xfId="0" applyNumberFormat="1" applyFill="1" applyBorder="1" applyAlignment="1">
      <alignment horizontal="center" vertical="center"/>
    </xf>
    <xf numFmtId="14" fontId="0" fillId="0" borderId="32" xfId="0" applyNumberFormat="1" applyFill="1" applyBorder="1" applyAlignment="1">
      <alignment horizontal="center" vertical="center"/>
    </xf>
    <xf numFmtId="9" fontId="0" fillId="0" borderId="32" xfId="0" applyNumberFormat="1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164" fontId="0" fillId="0" borderId="46" xfId="0" applyNumberFormat="1" applyFill="1" applyBorder="1" applyAlignment="1">
      <alignment horizontal="center" vertical="center"/>
    </xf>
    <xf numFmtId="14" fontId="0" fillId="0" borderId="46" xfId="0" applyNumberFormat="1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164" fontId="0" fillId="0" borderId="49" xfId="0" applyNumberFormat="1" applyFill="1" applyBorder="1" applyAlignment="1">
      <alignment horizontal="center" vertical="center"/>
    </xf>
    <xf numFmtId="14" fontId="0" fillId="0" borderId="49" xfId="0" applyNumberFormat="1" applyFill="1" applyBorder="1" applyAlignment="1">
      <alignment horizontal="center" vertical="center"/>
    </xf>
    <xf numFmtId="9" fontId="0" fillId="0" borderId="49" xfId="0" applyNumberFormat="1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</cellXfs>
  <cellStyles count="6">
    <cellStyle name="40% - Colore 1" xfId="4" builtinId="31"/>
    <cellStyle name="Colore 3" xfId="5" builtinId="37"/>
    <cellStyle name="Neutrale" xfId="3" builtinId="28"/>
    <cellStyle name="Normale" xfId="0" builtinId="0"/>
    <cellStyle name="Valore non valido" xfId="2" builtinId="27"/>
    <cellStyle name="Valore valido" xfId="1" builtinId="26"/>
  </cellStyles>
  <dxfs count="0"/>
  <tableStyles count="0" defaultTableStyle="TableStyleMedium2" defaultPivotStyle="PivotStyleLight16"/>
  <colors>
    <mruColors>
      <color rgb="FFFF9999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Costo Finale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Foglio3!$I$1</c:f>
              <c:strCache>
                <c:ptCount val="1"/>
                <c:pt idx="0">
                  <c:v> - (Costo PC/2)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Foglio3!$E$2:$E$8</c:f>
              <c:numCache>
                <c:formatCode>m/d/yyyy</c:formatCode>
                <c:ptCount val="7"/>
                <c:pt idx="0">
                  <c:v>45920</c:v>
                </c:pt>
                <c:pt idx="1">
                  <c:v>45920</c:v>
                </c:pt>
                <c:pt idx="2">
                  <c:v>45923</c:v>
                </c:pt>
                <c:pt idx="3">
                  <c:v>45923</c:v>
                </c:pt>
                <c:pt idx="4">
                  <c:v>45925</c:v>
                </c:pt>
                <c:pt idx="5">
                  <c:v>45925</c:v>
                </c:pt>
                <c:pt idx="6">
                  <c:v>45925</c:v>
                </c:pt>
              </c:numCache>
            </c:numRef>
          </c:cat>
          <c:val>
            <c:numRef>
              <c:f>Foglio3!$I$2:$I$8</c:f>
              <c:numCache>
                <c:formatCode>#,##0.00\ "€"</c:formatCode>
                <c:ptCount val="7"/>
                <c:pt idx="0">
                  <c:v>917.51308749999976</c:v>
                </c:pt>
                <c:pt idx="2">
                  <c:v>892.04049999999995</c:v>
                </c:pt>
                <c:pt idx="4">
                  <c:v>615.21549999999991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9-4FCE-BFBE-BAF85EC1A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1392"/>
        <c:axId val="650893040"/>
      </c:barChart>
      <c:dateAx>
        <c:axId val="4724413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50893040"/>
        <c:crosses val="autoZero"/>
        <c:auto val="1"/>
        <c:lblOffset val="100"/>
        <c:baseTimeUnit val="days"/>
      </c:dateAx>
      <c:valAx>
        <c:axId val="65089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244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11</xdr:row>
      <xdr:rowOff>3810</xdr:rowOff>
    </xdr:from>
    <xdr:to>
      <xdr:col>13</xdr:col>
      <xdr:colOff>1333500</xdr:colOff>
      <xdr:row>25</xdr:row>
      <xdr:rowOff>175260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BE8DE4A5-445D-3ED9-A063-4589181A6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opLeftCell="A2" zoomScale="85" zoomScaleNormal="85" workbookViewId="0">
      <selection activeCell="E20" sqref="E20:E23"/>
    </sheetView>
  </sheetViews>
  <sheetFormatPr defaultRowHeight="14.4" x14ac:dyDescent="0.3"/>
  <cols>
    <col min="1" max="1" width="14.44140625" bestFit="1" customWidth="1"/>
    <col min="3" max="3" width="22.21875" bestFit="1" customWidth="1"/>
    <col min="5" max="5" width="17" bestFit="1" customWidth="1"/>
    <col min="8" max="8" width="9.5546875" bestFit="1" customWidth="1"/>
    <col min="9" max="9" width="10.88671875" bestFit="1" customWidth="1"/>
    <col min="10" max="10" width="18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30</v>
      </c>
      <c r="F1" t="s">
        <v>36</v>
      </c>
      <c r="H1" s="1" t="s">
        <v>41</v>
      </c>
      <c r="I1" s="1" t="s">
        <v>42</v>
      </c>
      <c r="J1" s="1" t="s">
        <v>2</v>
      </c>
      <c r="K1" s="1" t="s">
        <v>30</v>
      </c>
    </row>
    <row r="2" spans="1:11" x14ac:dyDescent="0.3">
      <c r="A2" s="1" t="s">
        <v>3</v>
      </c>
      <c r="B2" s="1" t="s">
        <v>4</v>
      </c>
      <c r="C2" s="1" t="s">
        <v>5</v>
      </c>
      <c r="D2" s="1" t="s">
        <v>29</v>
      </c>
      <c r="F2" t="s">
        <v>37</v>
      </c>
      <c r="G2" t="s">
        <v>39</v>
      </c>
      <c r="H2" s="1" t="s">
        <v>42</v>
      </c>
      <c r="I2" s="1" t="s">
        <v>43</v>
      </c>
      <c r="J2" s="1" t="s">
        <v>5</v>
      </c>
      <c r="K2" s="1" t="s">
        <v>29</v>
      </c>
    </row>
    <row r="3" spans="1:11" x14ac:dyDescent="0.3">
      <c r="A3" s="81" t="s">
        <v>4</v>
      </c>
      <c r="B3" s="81" t="s">
        <v>6</v>
      </c>
      <c r="C3" s="1" t="s">
        <v>11</v>
      </c>
      <c r="D3" s="80" t="s">
        <v>31</v>
      </c>
      <c r="F3" t="s">
        <v>38</v>
      </c>
      <c r="G3" t="s">
        <v>40</v>
      </c>
      <c r="H3" s="82" t="s">
        <v>44</v>
      </c>
      <c r="I3" s="85" t="s">
        <v>45</v>
      </c>
      <c r="J3" s="1" t="s">
        <v>11</v>
      </c>
      <c r="K3" s="82" t="s">
        <v>31</v>
      </c>
    </row>
    <row r="4" spans="1:11" x14ac:dyDescent="0.3">
      <c r="A4" s="81"/>
      <c r="B4" s="81"/>
      <c r="C4" s="1" t="s">
        <v>19</v>
      </c>
      <c r="D4" s="80"/>
      <c r="H4" s="83"/>
      <c r="I4" s="86"/>
      <c r="J4" s="3" t="s">
        <v>12</v>
      </c>
      <c r="K4" s="83"/>
    </row>
    <row r="5" spans="1:11" x14ac:dyDescent="0.3">
      <c r="A5" s="81"/>
      <c r="B5" s="81"/>
      <c r="C5" s="1" t="s">
        <v>17</v>
      </c>
      <c r="D5" s="80"/>
      <c r="H5" s="83"/>
      <c r="I5" s="86"/>
      <c r="J5" s="1" t="s">
        <v>10</v>
      </c>
      <c r="K5" s="83"/>
    </row>
    <row r="6" spans="1:11" x14ac:dyDescent="0.3">
      <c r="A6" s="81"/>
      <c r="B6" s="81"/>
      <c r="C6" s="1" t="s">
        <v>13</v>
      </c>
      <c r="D6" s="80"/>
      <c r="H6" s="83"/>
      <c r="I6" s="86"/>
      <c r="J6" s="1" t="s">
        <v>20</v>
      </c>
      <c r="K6" s="83"/>
    </row>
    <row r="7" spans="1:11" x14ac:dyDescent="0.3">
      <c r="A7" s="81"/>
      <c r="B7" s="81"/>
      <c r="C7" s="3" t="s">
        <v>12</v>
      </c>
      <c r="D7" s="80"/>
      <c r="H7" s="84"/>
      <c r="I7" s="87"/>
      <c r="J7" s="1" t="s">
        <v>18</v>
      </c>
      <c r="K7" s="84"/>
    </row>
    <row r="8" spans="1:11" x14ac:dyDescent="0.3">
      <c r="A8" s="81"/>
      <c r="B8" s="81"/>
      <c r="C8" s="3" t="s">
        <v>10</v>
      </c>
      <c r="D8" s="80"/>
      <c r="H8" s="1" t="s">
        <v>21</v>
      </c>
      <c r="I8" s="1" t="s">
        <v>32</v>
      </c>
      <c r="J8" s="1" t="s">
        <v>7</v>
      </c>
      <c r="K8" s="1" t="s">
        <v>33</v>
      </c>
    </row>
    <row r="9" spans="1:11" x14ac:dyDescent="0.3">
      <c r="A9" s="81"/>
      <c r="B9" s="81"/>
      <c r="C9" s="1" t="s">
        <v>20</v>
      </c>
      <c r="D9" s="80"/>
      <c r="H9" s="1" t="s">
        <v>22</v>
      </c>
      <c r="I9" s="1" t="s">
        <v>8</v>
      </c>
      <c r="J9" s="1" t="s">
        <v>9</v>
      </c>
      <c r="K9" s="1" t="s">
        <v>33</v>
      </c>
    </row>
    <row r="10" spans="1:11" x14ac:dyDescent="0.3">
      <c r="A10" s="81"/>
      <c r="B10" s="81"/>
      <c r="C10" s="1" t="s">
        <v>18</v>
      </c>
      <c r="D10" s="80"/>
      <c r="H10" s="2" t="s">
        <v>23</v>
      </c>
      <c r="I10" s="1" t="s">
        <v>28</v>
      </c>
      <c r="J10" s="1" t="s">
        <v>25</v>
      </c>
      <c r="K10" s="1" t="s">
        <v>29</v>
      </c>
    </row>
    <row r="11" spans="1:11" x14ac:dyDescent="0.3">
      <c r="A11" s="1" t="s">
        <v>21</v>
      </c>
      <c r="B11" s="1" t="s">
        <v>32</v>
      </c>
      <c r="C11" s="1" t="s">
        <v>7</v>
      </c>
      <c r="D11" s="1" t="s">
        <v>33</v>
      </c>
      <c r="H11" s="80" t="s">
        <v>28</v>
      </c>
      <c r="I11" s="81" t="s">
        <v>24</v>
      </c>
      <c r="J11" s="1" t="s">
        <v>27</v>
      </c>
      <c r="K11" s="81" t="s">
        <v>34</v>
      </c>
    </row>
    <row r="12" spans="1:11" x14ac:dyDescent="0.3">
      <c r="A12" s="1" t="s">
        <v>22</v>
      </c>
      <c r="B12" s="1" t="s">
        <v>8</v>
      </c>
      <c r="C12" s="1" t="s">
        <v>9</v>
      </c>
      <c r="D12" s="1" t="s">
        <v>33</v>
      </c>
      <c r="H12" s="80"/>
      <c r="I12" s="81"/>
      <c r="J12" s="1" t="s">
        <v>26</v>
      </c>
      <c r="K12" s="81"/>
    </row>
    <row r="13" spans="1:11" x14ac:dyDescent="0.3">
      <c r="A13" s="2" t="s">
        <v>23</v>
      </c>
      <c r="B13" s="1" t="s">
        <v>28</v>
      </c>
      <c r="C13" s="1" t="s">
        <v>25</v>
      </c>
      <c r="D13" s="1" t="s">
        <v>29</v>
      </c>
      <c r="H13" s="1" t="s">
        <v>14</v>
      </c>
      <c r="I13" s="1" t="s">
        <v>15</v>
      </c>
      <c r="J13" s="1" t="s">
        <v>16</v>
      </c>
      <c r="K13" s="1" t="s">
        <v>35</v>
      </c>
    </row>
    <row r="14" spans="1:11" x14ac:dyDescent="0.3">
      <c r="A14" s="80" t="s">
        <v>28</v>
      </c>
      <c r="B14" s="81" t="s">
        <v>24</v>
      </c>
      <c r="C14" s="1" t="s">
        <v>27</v>
      </c>
      <c r="D14" s="81" t="s">
        <v>34</v>
      </c>
    </row>
    <row r="15" spans="1:11" x14ac:dyDescent="0.3">
      <c r="A15" s="80"/>
      <c r="B15" s="81"/>
      <c r="C15" s="1" t="s">
        <v>26</v>
      </c>
      <c r="D15" s="81"/>
    </row>
    <row r="16" spans="1:11" x14ac:dyDescent="0.3">
      <c r="A16" s="1" t="s">
        <v>14</v>
      </c>
      <c r="B16" s="1" t="s">
        <v>15</v>
      </c>
      <c r="C16" s="1" t="s">
        <v>16</v>
      </c>
      <c r="D16" s="1" t="s">
        <v>35</v>
      </c>
    </row>
    <row r="18" spans="1:8" ht="15" thickBot="1" x14ac:dyDescent="0.35"/>
    <row r="19" spans="1:8" ht="15.6" thickTop="1" thickBot="1" x14ac:dyDescent="0.35">
      <c r="A19" s="88" t="s">
        <v>47</v>
      </c>
      <c r="B19" s="89"/>
      <c r="C19" s="88" t="s">
        <v>56</v>
      </c>
      <c r="D19" s="90"/>
      <c r="E19" s="77" t="s">
        <v>64</v>
      </c>
      <c r="F19" s="78"/>
      <c r="G19" s="78"/>
      <c r="H19" s="79"/>
    </row>
    <row r="20" spans="1:8" ht="15" thickTop="1" x14ac:dyDescent="0.3">
      <c r="A20" s="20" t="s">
        <v>46</v>
      </c>
      <c r="B20" s="21" t="s">
        <v>63</v>
      </c>
      <c r="C20" s="13" t="s">
        <v>57</v>
      </c>
      <c r="D20" s="14" t="s">
        <v>66</v>
      </c>
      <c r="E20" s="5" t="s">
        <v>46</v>
      </c>
      <c r="F20" s="10" t="s">
        <v>63</v>
      </c>
      <c r="G20" s="10">
        <v>7.5</v>
      </c>
      <c r="H20" s="27"/>
    </row>
    <row r="21" spans="1:8" x14ac:dyDescent="0.3">
      <c r="A21" s="22" t="s">
        <v>48</v>
      </c>
      <c r="B21" s="23" t="s">
        <v>66</v>
      </c>
      <c r="C21" s="15" t="s">
        <v>58</v>
      </c>
      <c r="D21" s="16" t="s">
        <v>66</v>
      </c>
      <c r="E21" s="6" t="s">
        <v>48</v>
      </c>
      <c r="F21" s="11" t="s">
        <v>65</v>
      </c>
      <c r="G21" s="11">
        <v>13.5</v>
      </c>
      <c r="H21" s="28">
        <f>G21*2</f>
        <v>27</v>
      </c>
    </row>
    <row r="22" spans="1:8" x14ac:dyDescent="0.3">
      <c r="A22" s="22" t="s">
        <v>49</v>
      </c>
      <c r="B22" s="23" t="s">
        <v>66</v>
      </c>
      <c r="C22" s="15" t="s">
        <v>61</v>
      </c>
      <c r="D22" s="16" t="s">
        <v>66</v>
      </c>
      <c r="E22" s="6" t="s">
        <v>49</v>
      </c>
      <c r="F22" s="11" t="s">
        <v>65</v>
      </c>
      <c r="G22" s="11">
        <v>58</v>
      </c>
      <c r="H22" s="28">
        <f>G22/2</f>
        <v>29</v>
      </c>
    </row>
    <row r="23" spans="1:8" x14ac:dyDescent="0.3">
      <c r="A23" s="22" t="s">
        <v>50</v>
      </c>
      <c r="B23" s="23" t="s">
        <v>66</v>
      </c>
      <c r="C23" s="15" t="s">
        <v>62</v>
      </c>
      <c r="D23" s="16" t="s">
        <v>66</v>
      </c>
      <c r="E23" s="6" t="s">
        <v>50</v>
      </c>
      <c r="F23" s="11" t="s">
        <v>65</v>
      </c>
      <c r="G23" s="11">
        <v>13.5</v>
      </c>
      <c r="H23" s="28"/>
    </row>
    <row r="24" spans="1:8" x14ac:dyDescent="0.3">
      <c r="A24" s="24" t="s">
        <v>52</v>
      </c>
      <c r="B24" s="23" t="s">
        <v>55</v>
      </c>
      <c r="C24" s="17" t="s">
        <v>60</v>
      </c>
      <c r="D24" s="16" t="s">
        <v>53</v>
      </c>
      <c r="E24" s="7" t="s">
        <v>52</v>
      </c>
      <c r="F24" s="11" t="s">
        <v>53</v>
      </c>
      <c r="G24" s="29">
        <v>0</v>
      </c>
      <c r="H24" s="28"/>
    </row>
    <row r="25" spans="1:8" ht="15" thickBot="1" x14ac:dyDescent="0.35">
      <c r="A25" s="25" t="s">
        <v>54</v>
      </c>
      <c r="B25" s="26" t="s">
        <v>55</v>
      </c>
      <c r="C25" s="17" t="s">
        <v>54</v>
      </c>
      <c r="D25" s="16" t="s">
        <v>53</v>
      </c>
      <c r="E25" s="6" t="s">
        <v>57</v>
      </c>
      <c r="F25" s="9" t="s">
        <v>65</v>
      </c>
      <c r="G25" s="11">
        <v>58</v>
      </c>
      <c r="H25" s="28"/>
    </row>
    <row r="26" spans="1:8" ht="15.6" thickTop="1" thickBot="1" x14ac:dyDescent="0.35">
      <c r="A26" s="4"/>
      <c r="B26" s="4"/>
      <c r="C26" s="18" t="s">
        <v>59</v>
      </c>
      <c r="D26" s="19" t="s">
        <v>51</v>
      </c>
      <c r="E26" s="6" t="s">
        <v>58</v>
      </c>
      <c r="F26" s="9" t="s">
        <v>65</v>
      </c>
      <c r="G26" s="11">
        <v>9.5</v>
      </c>
      <c r="H26" s="28"/>
    </row>
    <row r="27" spans="1:8" ht="15" thickTop="1" x14ac:dyDescent="0.3">
      <c r="A27" s="4"/>
      <c r="B27" s="4"/>
      <c r="C27" s="4"/>
      <c r="D27" s="4"/>
      <c r="E27" s="6" t="s">
        <v>61</v>
      </c>
      <c r="F27" s="9" t="s">
        <v>65</v>
      </c>
      <c r="G27" s="11">
        <v>23</v>
      </c>
      <c r="H27" s="28">
        <f>G27/2</f>
        <v>11.5</v>
      </c>
    </row>
    <row r="28" spans="1:8" x14ac:dyDescent="0.3">
      <c r="A28" s="4"/>
      <c r="B28" s="4"/>
      <c r="C28" s="4"/>
      <c r="D28" s="4"/>
      <c r="E28" s="6" t="s">
        <v>62</v>
      </c>
      <c r="F28" s="9" t="s">
        <v>65</v>
      </c>
      <c r="G28" s="11">
        <v>23</v>
      </c>
      <c r="H28" s="28">
        <f>G28/2</f>
        <v>11.5</v>
      </c>
    </row>
    <row r="29" spans="1:8" ht="15" thickBot="1" x14ac:dyDescent="0.35">
      <c r="A29" s="4"/>
      <c r="B29" s="4"/>
      <c r="C29" s="4"/>
      <c r="D29" s="4"/>
      <c r="E29" s="8" t="s">
        <v>54</v>
      </c>
      <c r="F29" s="12" t="s">
        <v>53</v>
      </c>
      <c r="G29" s="30">
        <v>0</v>
      </c>
      <c r="H29" s="31">
        <v>0</v>
      </c>
    </row>
    <row r="30" spans="1:8" ht="15" thickTop="1" x14ac:dyDescent="0.3"/>
  </sheetData>
  <mergeCells count="15">
    <mergeCell ref="A19:B19"/>
    <mergeCell ref="C19:D19"/>
    <mergeCell ref="D3:D10"/>
    <mergeCell ref="D14:D15"/>
    <mergeCell ref="A3:A10"/>
    <mergeCell ref="B3:B10"/>
    <mergeCell ref="A14:A15"/>
    <mergeCell ref="B14:B15"/>
    <mergeCell ref="E19:H19"/>
    <mergeCell ref="H11:H12"/>
    <mergeCell ref="I11:I12"/>
    <mergeCell ref="K11:K12"/>
    <mergeCell ref="H3:H7"/>
    <mergeCell ref="I3:I7"/>
    <mergeCell ref="K3:K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6CD73-A5F0-408F-89D0-89F2D13A61C7}">
  <dimension ref="A1:G18"/>
  <sheetViews>
    <sheetView workbookViewId="0">
      <selection activeCell="O26" sqref="O26"/>
    </sheetView>
  </sheetViews>
  <sheetFormatPr defaultRowHeight="14.4" x14ac:dyDescent="0.3"/>
  <cols>
    <col min="1" max="1" width="17.109375" bestFit="1" customWidth="1"/>
  </cols>
  <sheetData>
    <row r="1" spans="1:7" ht="15" thickBot="1" x14ac:dyDescent="0.35">
      <c r="A1" s="91" t="s">
        <v>67</v>
      </c>
      <c r="B1" s="92"/>
      <c r="C1" s="92"/>
      <c r="D1" s="92"/>
      <c r="E1" s="92"/>
      <c r="F1" s="92"/>
      <c r="G1" s="93"/>
    </row>
    <row r="2" spans="1:7" ht="15" thickBot="1" x14ac:dyDescent="0.35">
      <c r="A2" s="94" t="s">
        <v>68</v>
      </c>
      <c r="B2" s="96" t="s">
        <v>69</v>
      </c>
      <c r="C2" s="97"/>
      <c r="D2" s="96" t="s">
        <v>70</v>
      </c>
      <c r="E2" s="97"/>
      <c r="F2" s="96" t="s">
        <v>71</v>
      </c>
      <c r="G2" s="97"/>
    </row>
    <row r="3" spans="1:7" ht="15" thickBot="1" x14ac:dyDescent="0.35">
      <c r="A3" s="95"/>
      <c r="B3" s="57" t="s">
        <v>72</v>
      </c>
      <c r="C3" s="57" t="s">
        <v>73</v>
      </c>
      <c r="D3" s="57" t="s">
        <v>72</v>
      </c>
      <c r="E3" s="57" t="s">
        <v>73</v>
      </c>
      <c r="F3" s="57" t="s">
        <v>72</v>
      </c>
      <c r="G3" s="57" t="s">
        <v>73</v>
      </c>
    </row>
    <row r="4" spans="1:7" x14ac:dyDescent="0.3">
      <c r="A4" s="58" t="s">
        <v>74</v>
      </c>
      <c r="B4" s="41">
        <v>0</v>
      </c>
      <c r="C4" s="42">
        <v>8</v>
      </c>
      <c r="D4" s="42">
        <v>0</v>
      </c>
      <c r="E4" s="42">
        <v>8</v>
      </c>
      <c r="F4" s="42">
        <v>0</v>
      </c>
      <c r="G4" s="40">
        <v>8</v>
      </c>
    </row>
    <row r="5" spans="1:7" ht="15" thickBot="1" x14ac:dyDescent="0.35">
      <c r="A5" s="46" t="s">
        <v>74</v>
      </c>
      <c r="B5" s="47">
        <v>0</v>
      </c>
      <c r="C5" s="48">
        <v>5</v>
      </c>
      <c r="D5" s="48">
        <v>0</v>
      </c>
      <c r="E5" s="48">
        <v>5</v>
      </c>
      <c r="F5" s="48">
        <v>0</v>
      </c>
      <c r="G5" s="49">
        <v>5</v>
      </c>
    </row>
    <row r="6" spans="1:7" x14ac:dyDescent="0.3">
      <c r="A6" s="59" t="s">
        <v>46</v>
      </c>
      <c r="B6" s="54">
        <v>0</v>
      </c>
      <c r="C6" s="55">
        <v>15</v>
      </c>
      <c r="D6" s="55">
        <v>7.5</v>
      </c>
      <c r="E6" s="55">
        <v>12</v>
      </c>
      <c r="F6" s="55">
        <v>7.5</v>
      </c>
      <c r="G6" s="53">
        <v>12</v>
      </c>
    </row>
    <row r="7" spans="1:7" x14ac:dyDescent="0.3">
      <c r="A7" s="60" t="s">
        <v>75</v>
      </c>
      <c r="B7" s="37">
        <v>13</v>
      </c>
      <c r="C7" s="38">
        <v>8</v>
      </c>
      <c r="D7" s="38">
        <v>13</v>
      </c>
      <c r="E7" s="38">
        <v>8</v>
      </c>
      <c r="F7" s="38">
        <v>13</v>
      </c>
      <c r="G7" s="36">
        <v>8</v>
      </c>
    </row>
    <row r="8" spans="1:7" x14ac:dyDescent="0.3">
      <c r="A8" s="61" t="s">
        <v>49</v>
      </c>
      <c r="B8" s="51">
        <v>55</v>
      </c>
      <c r="C8" s="52">
        <v>8</v>
      </c>
      <c r="D8" s="52">
        <v>55</v>
      </c>
      <c r="E8" s="52">
        <v>8</v>
      </c>
      <c r="F8" s="52">
        <v>55</v>
      </c>
      <c r="G8" s="50">
        <v>8</v>
      </c>
    </row>
    <row r="9" spans="1:7" ht="15" thickBot="1" x14ac:dyDescent="0.35">
      <c r="A9" s="39" t="s">
        <v>76</v>
      </c>
      <c r="B9" s="33">
        <v>13</v>
      </c>
      <c r="C9" s="34">
        <v>8</v>
      </c>
      <c r="D9" s="34">
        <v>13</v>
      </c>
      <c r="E9" s="34">
        <v>8</v>
      </c>
      <c r="F9" s="34">
        <v>13</v>
      </c>
      <c r="G9" s="32">
        <v>8</v>
      </c>
    </row>
    <row r="10" spans="1:7" x14ac:dyDescent="0.3">
      <c r="A10" s="62" t="s">
        <v>77</v>
      </c>
      <c r="B10" s="102">
        <v>60</v>
      </c>
      <c r="C10" s="102"/>
      <c r="D10" s="102"/>
      <c r="E10" s="102"/>
      <c r="F10" s="102"/>
      <c r="G10" s="103"/>
    </row>
    <row r="11" spans="1:7" x14ac:dyDescent="0.3">
      <c r="A11" s="63" t="s">
        <v>78</v>
      </c>
      <c r="B11" s="100">
        <v>50</v>
      </c>
      <c r="C11" s="100"/>
      <c r="D11" s="100"/>
      <c r="E11" s="100"/>
      <c r="F11" s="100"/>
      <c r="G11" s="101"/>
    </row>
    <row r="12" spans="1:7" x14ac:dyDescent="0.3">
      <c r="A12" s="63" t="s">
        <v>79</v>
      </c>
      <c r="B12" s="100">
        <v>50</v>
      </c>
      <c r="C12" s="100"/>
      <c r="D12" s="100"/>
      <c r="E12" s="100"/>
      <c r="F12" s="100"/>
      <c r="G12" s="101"/>
    </row>
    <row r="13" spans="1:7" x14ac:dyDescent="0.3">
      <c r="A13" s="63" t="s">
        <v>80</v>
      </c>
      <c r="B13" s="100">
        <v>20</v>
      </c>
      <c r="C13" s="100"/>
      <c r="D13" s="100"/>
      <c r="E13" s="100"/>
      <c r="F13" s="100"/>
      <c r="G13" s="101"/>
    </row>
    <row r="14" spans="1:7" ht="15" thickBot="1" x14ac:dyDescent="0.35">
      <c r="A14" s="56" t="s">
        <v>81</v>
      </c>
      <c r="B14" s="98">
        <v>20</v>
      </c>
      <c r="C14" s="98"/>
      <c r="D14" s="98"/>
      <c r="E14" s="98"/>
      <c r="F14" s="98"/>
      <c r="G14" s="99"/>
    </row>
    <row r="15" spans="1:7" x14ac:dyDescent="0.3">
      <c r="A15" s="64" t="s">
        <v>57</v>
      </c>
      <c r="B15" s="41">
        <v>55</v>
      </c>
      <c r="C15" s="42">
        <v>8</v>
      </c>
      <c r="D15" s="42">
        <v>55</v>
      </c>
      <c r="E15" s="42">
        <v>8</v>
      </c>
      <c r="F15" s="42">
        <v>55</v>
      </c>
      <c r="G15" s="40">
        <v>8</v>
      </c>
    </row>
    <row r="16" spans="1:7" x14ac:dyDescent="0.3">
      <c r="A16" s="60" t="s">
        <v>58</v>
      </c>
      <c r="B16" s="37">
        <v>9</v>
      </c>
      <c r="C16" s="38">
        <v>8</v>
      </c>
      <c r="D16" s="38">
        <v>9</v>
      </c>
      <c r="E16" s="38">
        <v>8</v>
      </c>
      <c r="F16" s="38">
        <v>9</v>
      </c>
      <c r="G16" s="36">
        <v>8</v>
      </c>
    </row>
    <row r="17" spans="1:7" x14ac:dyDescent="0.3">
      <c r="A17" s="65" t="s">
        <v>61</v>
      </c>
      <c r="B17" s="44">
        <v>20</v>
      </c>
      <c r="C17" s="45">
        <v>8</v>
      </c>
      <c r="D17" s="45">
        <v>20</v>
      </c>
      <c r="E17" s="45">
        <v>8</v>
      </c>
      <c r="F17" s="45">
        <v>20</v>
      </c>
      <c r="G17" s="43">
        <v>8</v>
      </c>
    </row>
    <row r="18" spans="1:7" ht="15" thickBot="1" x14ac:dyDescent="0.35">
      <c r="A18" s="39" t="s">
        <v>82</v>
      </c>
      <c r="B18" s="33">
        <v>20</v>
      </c>
      <c r="C18" s="34">
        <v>8</v>
      </c>
      <c r="D18" s="34">
        <v>20</v>
      </c>
      <c r="E18" s="34">
        <v>8</v>
      </c>
      <c r="F18" s="35">
        <v>20</v>
      </c>
      <c r="G18" s="32">
        <v>8</v>
      </c>
    </row>
  </sheetData>
  <mergeCells count="10">
    <mergeCell ref="B14:G14"/>
    <mergeCell ref="B13:G13"/>
    <mergeCell ref="B12:G12"/>
    <mergeCell ref="B11:G11"/>
    <mergeCell ref="B10:G10"/>
    <mergeCell ref="A1:G1"/>
    <mergeCell ref="A2:A3"/>
    <mergeCell ref="B2:C2"/>
    <mergeCell ref="D2:E2"/>
    <mergeCell ref="F2:G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2492-3BB5-4AC7-86BA-9F4AC6194A71}">
  <dimension ref="A1:N11"/>
  <sheetViews>
    <sheetView tabSelected="1" workbookViewId="0">
      <selection activeCell="O20" sqref="O20"/>
    </sheetView>
  </sheetViews>
  <sheetFormatPr defaultRowHeight="14.4" x14ac:dyDescent="0.3"/>
  <cols>
    <col min="1" max="1" width="7.5546875" style="4" bestFit="1" customWidth="1"/>
    <col min="2" max="2" width="27.44140625" style="4" bestFit="1" customWidth="1"/>
    <col min="3" max="3" width="9.44140625" style="4" bestFit="1" customWidth="1"/>
    <col min="4" max="4" width="9.21875" style="4" bestFit="1" customWidth="1"/>
    <col min="5" max="5" width="10.5546875" style="4" bestFit="1" customWidth="1"/>
    <col min="6" max="6" width="23.44140625" style="4" bestFit="1" customWidth="1"/>
    <col min="7" max="7" width="9.44140625" style="4" bestFit="1" customWidth="1"/>
    <col min="8" max="8" width="9.21875" style="4" bestFit="1" customWidth="1"/>
    <col min="9" max="9" width="14.44140625" style="4" bestFit="1" customWidth="1"/>
    <col min="10" max="10" width="3.88671875" style="4" customWidth="1"/>
    <col min="11" max="11" width="4.6640625" style="4" bestFit="1" customWidth="1"/>
    <col min="12" max="12" width="28" style="4" bestFit="1" customWidth="1"/>
    <col min="13" max="13" width="7.88671875" style="4" bestFit="1" customWidth="1"/>
    <col min="14" max="14" width="19.5546875" style="4" bestFit="1" customWidth="1"/>
    <col min="15" max="16384" width="8.88671875" style="4"/>
  </cols>
  <sheetData>
    <row r="1" spans="1:14" ht="16.2" thickBot="1" x14ac:dyDescent="0.35">
      <c r="A1" s="67" t="s">
        <v>112</v>
      </c>
      <c r="B1" s="67" t="s">
        <v>94</v>
      </c>
      <c r="C1" s="67" t="s">
        <v>83</v>
      </c>
      <c r="D1" s="67" t="s">
        <v>90</v>
      </c>
      <c r="E1" s="67" t="s">
        <v>84</v>
      </c>
      <c r="F1" s="67" t="s">
        <v>85</v>
      </c>
      <c r="G1" s="67" t="s">
        <v>114</v>
      </c>
      <c r="H1" s="67" t="s">
        <v>90</v>
      </c>
      <c r="I1" s="67" t="s">
        <v>113</v>
      </c>
      <c r="K1" s="67" t="s">
        <v>100</v>
      </c>
      <c r="L1" s="67" t="s">
        <v>99</v>
      </c>
      <c r="M1" s="67" t="s">
        <v>98</v>
      </c>
      <c r="N1" s="67" t="s">
        <v>97</v>
      </c>
    </row>
    <row r="2" spans="1:14" ht="15" thickBot="1" x14ac:dyDescent="0.35">
      <c r="A2" s="114">
        <v>1</v>
      </c>
      <c r="B2" s="115" t="s">
        <v>95</v>
      </c>
      <c r="C2" s="116">
        <v>1499</v>
      </c>
      <c r="D2" s="116">
        <f>(C2-M2) *(1-M4)  *(1-M6)*(1-M7)</f>
        <v>944.04824999999983</v>
      </c>
      <c r="E2" s="117">
        <v>45920</v>
      </c>
      <c r="F2" s="115" t="str">
        <f>TEXT(M2,"€#,#0.0") &amp; "/" &amp; TEXT(M4,"0%") &amp; "/" &amp; TEXT(M5,"0%") &amp; "/" &amp; TEXT(M8,"0%")</f>
        <v>€200,00/15%/10%/5%</v>
      </c>
      <c r="G2" s="106">
        <f>D2+D3</f>
        <v>965.80324999999982</v>
      </c>
      <c r="H2" s="106">
        <f>G2*(1-M9)</f>
        <v>917.51308749999976</v>
      </c>
      <c r="I2" s="106">
        <f>H2</f>
        <v>917.51308749999976</v>
      </c>
      <c r="K2" s="68" t="s">
        <v>86</v>
      </c>
      <c r="L2" s="68" t="s">
        <v>102</v>
      </c>
      <c r="M2" s="69">
        <v>200</v>
      </c>
      <c r="N2" s="68"/>
    </row>
    <row r="3" spans="1:14" ht="15" thickBot="1" x14ac:dyDescent="0.35">
      <c r="A3" s="114"/>
      <c r="B3" s="118" t="s">
        <v>96</v>
      </c>
      <c r="C3" s="119">
        <v>22.9</v>
      </c>
      <c r="D3" s="119">
        <f>C3*(1-M8)</f>
        <v>21.754999999999999</v>
      </c>
      <c r="E3" s="120">
        <v>45920</v>
      </c>
      <c r="F3" s="121">
        <f>M8</f>
        <v>0.05</v>
      </c>
      <c r="G3" s="107"/>
      <c r="H3" s="107"/>
      <c r="I3" s="107"/>
      <c r="K3" s="70" t="s">
        <v>87</v>
      </c>
      <c r="L3" s="70" t="s">
        <v>102</v>
      </c>
      <c r="M3" s="71">
        <v>100</v>
      </c>
      <c r="N3" s="72">
        <v>45925</v>
      </c>
    </row>
    <row r="4" spans="1:14" ht="15" thickBot="1" x14ac:dyDescent="0.35">
      <c r="A4" s="114">
        <v>2</v>
      </c>
      <c r="B4" s="115" t="s">
        <v>95</v>
      </c>
      <c r="C4" s="116">
        <v>1499</v>
      </c>
      <c r="D4" s="116">
        <f>(C4-M2-M3) *(1-M4)  *(1-M6)</f>
        <v>917.23500000000001</v>
      </c>
      <c r="E4" s="117">
        <v>45923</v>
      </c>
      <c r="F4" s="115" t="str">
        <f>TEXT(M2,"€#,#0.0") &amp; "/" &amp; TEXT(M3,"€#,#0.0") &amp; "/" &amp; TEXT(M4,"0%") &amp; "/" &amp; TEXT(M6,"0%")</f>
        <v>€200,00/€100,00/15%/10%</v>
      </c>
      <c r="G4" s="104">
        <f>D4+D5</f>
        <v>938.99</v>
      </c>
      <c r="H4" s="104">
        <f>G4*(1-M9)</f>
        <v>892.04049999999995</v>
      </c>
      <c r="I4" s="104">
        <f>H4</f>
        <v>892.04049999999995</v>
      </c>
      <c r="K4" s="70" t="s">
        <v>88</v>
      </c>
      <c r="L4" s="70" t="s">
        <v>103</v>
      </c>
      <c r="M4" s="74">
        <v>0.15</v>
      </c>
      <c r="N4" s="72">
        <v>45931</v>
      </c>
    </row>
    <row r="5" spans="1:14" ht="15" thickBot="1" x14ac:dyDescent="0.35">
      <c r="A5" s="114"/>
      <c r="B5" s="118" t="s">
        <v>96</v>
      </c>
      <c r="C5" s="119">
        <v>22.9</v>
      </c>
      <c r="D5" s="119">
        <f>C5*(1-M9)</f>
        <v>21.754999999999999</v>
      </c>
      <c r="E5" s="120">
        <v>45923</v>
      </c>
      <c r="F5" s="121">
        <f>M8</f>
        <v>0.05</v>
      </c>
      <c r="G5" s="105"/>
      <c r="H5" s="105"/>
      <c r="I5" s="105"/>
      <c r="K5" s="70" t="s">
        <v>89</v>
      </c>
      <c r="L5" s="70" t="s">
        <v>101</v>
      </c>
      <c r="M5" s="74">
        <v>0.1</v>
      </c>
      <c r="N5" s="72">
        <v>45921</v>
      </c>
    </row>
    <row r="6" spans="1:14" ht="15" thickBot="1" x14ac:dyDescent="0.35">
      <c r="A6" s="114">
        <v>3</v>
      </c>
      <c r="B6" s="122" t="s">
        <v>95</v>
      </c>
      <c r="C6" s="123">
        <v>1499</v>
      </c>
      <c r="D6" s="123">
        <f>(C6-M2) *(1-M4)  *(1-M6)</f>
        <v>993.7349999999999</v>
      </c>
      <c r="E6" s="124">
        <v>45925</v>
      </c>
      <c r="F6" s="122" t="str">
        <f>TEXT(M2,"€#,#0.0") &amp; "/" &amp; TEXT(M4,"0%") &amp; "/" &amp; TEXT(M6,"0%")</f>
        <v>€200,00/15%/10%</v>
      </c>
      <c r="G6" s="108">
        <f>D6+D7+D8</f>
        <v>1015.4899999999999</v>
      </c>
      <c r="H6" s="108">
        <f>G6*(1-M9)</f>
        <v>964.71549999999991</v>
      </c>
      <c r="I6" s="111">
        <f>H6-(C8/2)</f>
        <v>615.21549999999991</v>
      </c>
      <c r="K6" s="70" t="s">
        <v>91</v>
      </c>
      <c r="L6" s="70" t="s">
        <v>101</v>
      </c>
      <c r="M6" s="74">
        <v>0.1</v>
      </c>
      <c r="N6" s="72"/>
    </row>
    <row r="7" spans="1:14" ht="15" thickBot="1" x14ac:dyDescent="0.35">
      <c r="A7" s="114"/>
      <c r="B7" s="125" t="s">
        <v>96</v>
      </c>
      <c r="C7" s="126">
        <v>22.9</v>
      </c>
      <c r="D7" s="126">
        <f>C7*(1-M9)</f>
        <v>21.754999999999999</v>
      </c>
      <c r="E7" s="127">
        <v>45925</v>
      </c>
      <c r="F7" s="128">
        <f>M8</f>
        <v>0.05</v>
      </c>
      <c r="G7" s="109"/>
      <c r="H7" s="109"/>
      <c r="I7" s="112"/>
      <c r="K7" s="70" t="s">
        <v>92</v>
      </c>
      <c r="L7" s="70" t="s">
        <v>109</v>
      </c>
      <c r="M7" s="74">
        <v>0.05</v>
      </c>
      <c r="N7" s="72">
        <v>45930</v>
      </c>
    </row>
    <row r="8" spans="1:14" ht="15" thickBot="1" x14ac:dyDescent="0.35">
      <c r="A8" s="114"/>
      <c r="B8" s="129" t="s">
        <v>107</v>
      </c>
      <c r="C8" s="119">
        <v>699</v>
      </c>
      <c r="D8" s="119">
        <f>C8*(1-M10)</f>
        <v>0</v>
      </c>
      <c r="E8" s="120">
        <v>45925</v>
      </c>
      <c r="F8" s="121">
        <f>M10</f>
        <v>1</v>
      </c>
      <c r="G8" s="110"/>
      <c r="H8" s="110"/>
      <c r="I8" s="113"/>
      <c r="K8" s="70" t="s">
        <v>93</v>
      </c>
      <c r="L8" s="70" t="s">
        <v>106</v>
      </c>
      <c r="M8" s="74">
        <v>0.05</v>
      </c>
      <c r="N8" s="70" t="s">
        <v>108</v>
      </c>
    </row>
    <row r="9" spans="1:14" x14ac:dyDescent="0.3">
      <c r="K9" s="70" t="s">
        <v>110</v>
      </c>
      <c r="L9" s="70" t="s">
        <v>105</v>
      </c>
      <c r="M9" s="74">
        <v>0.05</v>
      </c>
      <c r="N9" s="70"/>
    </row>
    <row r="10" spans="1:14" ht="15" thickBot="1" x14ac:dyDescent="0.35">
      <c r="K10" s="66" t="s">
        <v>111</v>
      </c>
      <c r="L10" s="66" t="s">
        <v>104</v>
      </c>
      <c r="M10" s="73">
        <v>1</v>
      </c>
      <c r="N10" s="75">
        <v>45926.583333333336</v>
      </c>
    </row>
    <row r="11" spans="1:14" x14ac:dyDescent="0.3">
      <c r="G11" s="76"/>
    </row>
  </sheetData>
  <mergeCells count="12">
    <mergeCell ref="I6:I8"/>
    <mergeCell ref="I4:I5"/>
    <mergeCell ref="I2:I3"/>
    <mergeCell ref="A2:A3"/>
    <mergeCell ref="A4:A5"/>
    <mergeCell ref="A6:A8"/>
    <mergeCell ref="G4:G5"/>
    <mergeCell ref="H4:H5"/>
    <mergeCell ref="G2:G3"/>
    <mergeCell ref="H2:H3"/>
    <mergeCell ref="G6:G8"/>
    <mergeCell ref="H6:H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Forneron</dc:creator>
  <cp:lastModifiedBy>Mattia  Forneron</cp:lastModifiedBy>
  <cp:lastPrinted>2025-09-19T06:44:54Z</cp:lastPrinted>
  <dcterms:created xsi:type="dcterms:W3CDTF">2015-06-05T18:19:34Z</dcterms:created>
  <dcterms:modified xsi:type="dcterms:W3CDTF">2025-09-26T12:31:16Z</dcterms:modified>
</cp:coreProperties>
</file>