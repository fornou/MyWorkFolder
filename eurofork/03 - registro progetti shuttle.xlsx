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slicers/slicer1.xml" ContentType="application/vnd.ms-excel.slicer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slicers/slicer2.xml" ContentType="application/vnd.ms-excel.slicer+xml"/>
  <Override PartName="/xl/pivotTables/pivotTable1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attia.forneron\Desktop\myfolder\MyWorkFolder\eurofork\"/>
    </mc:Choice>
  </mc:AlternateContent>
  <xr:revisionPtr revIDLastSave="0" documentId="8_{C571AF08-ED3E-4899-9293-67E1EB94D805}" xr6:coauthVersionLast="47" xr6:coauthVersionMax="47" xr10:uidLastSave="{00000000-0000-0000-0000-000000000000}"/>
  <bookViews>
    <workbookView xWindow="-120" yWindow="-120" windowWidth="29040" windowHeight="15720" xr2:uid="{EF60ADE6-9CDE-4A77-81ED-15123D0D0B8E}"/>
  </bookViews>
  <sheets>
    <sheet name="Data" sheetId="1" r:id="rId1"/>
    <sheet name="E4S (A x PPH)" sheetId="12" r:id="rId2"/>
    <sheet name="E4S (L x H)" sheetId="20" r:id="rId3"/>
    <sheet name="E4S (L x D)" sheetId="23" r:id="rId4"/>
    <sheet name="E4S (V x PPH)" sheetId="21" r:id="rId5"/>
    <sheet name="E4S (pp x PPH)" sheetId="22" r:id="rId6"/>
    <sheet name="ESS (A x PPH)" sheetId="15" r:id="rId7"/>
    <sheet name="ESS (L x H)" sheetId="24" r:id="rId8"/>
    <sheet name="ESS (L x D)" sheetId="27" r:id="rId9"/>
    <sheet name="ESS (V x PPH)" sheetId="26" r:id="rId10"/>
    <sheet name="ESS (pp x PPH)" sheetId="25" r:id="rId11"/>
    <sheet name="Report of E4S" sheetId="3" state="hidden" r:id="rId12"/>
    <sheet name="E4S Configurator" sheetId="7" state="hidden" r:id="rId13"/>
    <sheet name="Report of ESS" sheetId="10" state="hidden" r:id="rId14"/>
    <sheet name="ESS Configurator" sheetId="11" state="hidden" r:id="rId15"/>
    <sheet name="Pivot" sheetId="4" state="hidden" r:id="rId16"/>
  </sheets>
  <definedNames>
    <definedName name="_xlnm._FilterDatabase" localSheetId="0" hidden="1">Data!$A$1:$S$180</definedName>
    <definedName name="FiltroDati_Total_throughput">#N/A</definedName>
    <definedName name="FiltroDati_Total_throughput1">#N/A</definedName>
    <definedName name="FiltroDati_V_warehouse__m3">#N/A</definedName>
    <definedName name="FiltroDati_V_warehouse__m31">#N/A</definedName>
  </definedNames>
  <calcPr calcId="191028"/>
  <pivotCaches>
    <pivotCache cacheId="0" r:id="rId17"/>
    <pivotCache cacheId="1" r:id="rId18"/>
    <pivotCache cacheId="2" r:id="rId19"/>
  </pivotCaches>
  <extLs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1" i="1" l="1"/>
  <c r="N140" i="1" l="1"/>
  <c r="M140" i="1"/>
  <c r="F140" i="1"/>
  <c r="N139" i="1" l="1"/>
  <c r="M139" i="1"/>
  <c r="F139" i="1" l="1"/>
  <c r="S138" i="1" l="1"/>
  <c r="F138" i="1"/>
  <c r="F137" i="1"/>
  <c r="M138" i="1" l="1"/>
  <c r="M137" i="1"/>
  <c r="M136" i="1" l="1"/>
  <c r="M135" i="1"/>
  <c r="M134" i="1" l="1"/>
  <c r="M133" i="1" l="1"/>
  <c r="M132" i="1"/>
  <c r="J132" i="1"/>
  <c r="F132" i="1"/>
  <c r="S2" i="1" l="1"/>
  <c r="S132" i="1"/>
  <c r="S133" i="1"/>
  <c r="S134" i="1"/>
  <c r="S135" i="1"/>
  <c r="S136" i="1"/>
  <c r="S137" i="1"/>
  <c r="S139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R132" i="1"/>
  <c r="R133" i="1"/>
  <c r="R134" i="1"/>
  <c r="R135" i="1"/>
  <c r="R136" i="1"/>
  <c r="R137" i="1"/>
  <c r="R138" i="1"/>
  <c r="R139" i="1"/>
  <c r="R140" i="1"/>
  <c r="S140" i="1" s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S48" i="1"/>
  <c r="S50" i="1"/>
  <c r="S51" i="1"/>
  <c r="S52" i="1"/>
  <c r="S53" i="1"/>
  <c r="S57" i="1"/>
  <c r="S64" i="1"/>
  <c r="S66" i="1"/>
  <c r="S67" i="1"/>
  <c r="S71" i="1"/>
  <c r="S72" i="1"/>
  <c r="S73" i="1"/>
  <c r="S76" i="1"/>
  <c r="S79" i="1"/>
  <c r="S80" i="1"/>
  <c r="S81" i="1"/>
  <c r="S82" i="1"/>
  <c r="S83" i="1"/>
  <c r="S84" i="1"/>
  <c r="S85" i="1"/>
  <c r="S86" i="1"/>
  <c r="S88" i="1"/>
  <c r="S90" i="1"/>
  <c r="S92" i="1"/>
  <c r="S93" i="1"/>
  <c r="S94" i="1"/>
  <c r="S95" i="1"/>
  <c r="S98" i="1"/>
  <c r="S100" i="1"/>
  <c r="S101" i="1"/>
  <c r="S102" i="1"/>
  <c r="S103" i="1"/>
  <c r="S104" i="1"/>
  <c r="S108" i="1"/>
  <c r="S109" i="1"/>
  <c r="S110" i="1"/>
  <c r="S111" i="1"/>
  <c r="S112" i="1"/>
  <c r="S113" i="1"/>
  <c r="S114" i="1"/>
  <c r="S118" i="1"/>
  <c r="S119" i="1"/>
  <c r="S120" i="1"/>
  <c r="S121" i="1"/>
  <c r="S122" i="1"/>
  <c r="S123" i="1"/>
  <c r="S124" i="1"/>
  <c r="S125" i="1"/>
  <c r="S126" i="1"/>
  <c r="S127" i="1"/>
  <c r="S128" i="1"/>
  <c r="S40" i="1"/>
  <c r="S42" i="1"/>
  <c r="S43" i="1"/>
  <c r="S44" i="1"/>
  <c r="S17" i="1"/>
  <c r="S18" i="1"/>
  <c r="S19" i="1"/>
  <c r="S26" i="1"/>
  <c r="S30" i="1"/>
  <c r="S31" i="1"/>
  <c r="S32" i="1"/>
  <c r="S33" i="1"/>
  <c r="S34" i="1"/>
  <c r="S6" i="1"/>
  <c r="S7" i="1"/>
  <c r="S8" i="1"/>
  <c r="S9" i="1"/>
  <c r="S11" i="1"/>
  <c r="S12" i="1"/>
  <c r="S13" i="1"/>
  <c r="S14" i="1"/>
  <c r="S15" i="1"/>
  <c r="S16" i="1"/>
  <c r="R2" i="1"/>
  <c r="R3" i="1"/>
  <c r="S3" i="1" s="1"/>
  <c r="R4" i="1"/>
  <c r="S4" i="1" s="1"/>
  <c r="R5" i="1"/>
  <c r="S5" i="1" s="1"/>
  <c r="R6" i="1"/>
  <c r="R7" i="1"/>
  <c r="R8" i="1"/>
  <c r="R9" i="1"/>
  <c r="R10" i="1"/>
  <c r="S10" i="1" s="1"/>
  <c r="R11" i="1"/>
  <c r="R12" i="1"/>
  <c r="R13" i="1"/>
  <c r="R14" i="1"/>
  <c r="R15" i="1"/>
  <c r="R16" i="1"/>
  <c r="R17" i="1"/>
  <c r="R18" i="1"/>
  <c r="R19" i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R27" i="1"/>
  <c r="S27" i="1" s="1"/>
  <c r="R28" i="1"/>
  <c r="S28" i="1" s="1"/>
  <c r="R29" i="1"/>
  <c r="S29" i="1" s="1"/>
  <c r="R30" i="1"/>
  <c r="R31" i="1"/>
  <c r="R32" i="1"/>
  <c r="R33" i="1"/>
  <c r="R34" i="1"/>
  <c r="R35" i="1"/>
  <c r="S35" i="1" s="1"/>
  <c r="R36" i="1"/>
  <c r="S36" i="1" s="1"/>
  <c r="R37" i="1"/>
  <c r="S37" i="1" s="1"/>
  <c r="R38" i="1"/>
  <c r="S38" i="1" s="1"/>
  <c r="R39" i="1"/>
  <c r="S39" i="1" s="1"/>
  <c r="R40" i="1"/>
  <c r="R41" i="1"/>
  <c r="S41" i="1" s="1"/>
  <c r="R42" i="1"/>
  <c r="R43" i="1"/>
  <c r="R44" i="1"/>
  <c r="R45" i="1"/>
  <c r="S45" i="1" s="1"/>
  <c r="R46" i="1"/>
  <c r="S46" i="1" s="1"/>
  <c r="R47" i="1"/>
  <c r="S47" i="1" s="1"/>
  <c r="R48" i="1"/>
  <c r="R49" i="1"/>
  <c r="S49" i="1" s="1"/>
  <c r="R50" i="1"/>
  <c r="R51" i="1"/>
  <c r="R52" i="1"/>
  <c r="R53" i="1"/>
  <c r="R54" i="1"/>
  <c r="S54" i="1" s="1"/>
  <c r="R55" i="1"/>
  <c r="S55" i="1" s="1"/>
  <c r="R56" i="1"/>
  <c r="S56" i="1" s="1"/>
  <c r="R57" i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R65" i="1"/>
  <c r="S65" i="1" s="1"/>
  <c r="R66" i="1"/>
  <c r="R67" i="1"/>
  <c r="R68" i="1"/>
  <c r="S68" i="1" s="1"/>
  <c r="R69" i="1"/>
  <c r="S69" i="1" s="1"/>
  <c r="R70" i="1"/>
  <c r="S70" i="1" s="1"/>
  <c r="R71" i="1"/>
  <c r="R72" i="1"/>
  <c r="R73" i="1"/>
  <c r="R74" i="1"/>
  <c r="S74" i="1" s="1"/>
  <c r="R75" i="1"/>
  <c r="S75" i="1" s="1"/>
  <c r="R76" i="1"/>
  <c r="R77" i="1"/>
  <c r="S77" i="1" s="1"/>
  <c r="R78" i="1"/>
  <c r="S78" i="1" s="1"/>
  <c r="R79" i="1"/>
  <c r="R80" i="1"/>
  <c r="R81" i="1"/>
  <c r="R82" i="1"/>
  <c r="R83" i="1"/>
  <c r="R84" i="1"/>
  <c r="R85" i="1"/>
  <c r="R86" i="1"/>
  <c r="R87" i="1"/>
  <c r="S87" i="1" s="1"/>
  <c r="R88" i="1"/>
  <c r="R89" i="1"/>
  <c r="S89" i="1" s="1"/>
  <c r="R90" i="1"/>
  <c r="R91" i="1"/>
  <c r="S91" i="1" s="1"/>
  <c r="R92" i="1"/>
  <c r="R93" i="1"/>
  <c r="R94" i="1"/>
  <c r="R95" i="1"/>
  <c r="R96" i="1"/>
  <c r="S96" i="1" s="1"/>
  <c r="R97" i="1"/>
  <c r="R98" i="1"/>
  <c r="R99" i="1"/>
  <c r="R100" i="1"/>
  <c r="R101" i="1"/>
  <c r="R102" i="1"/>
  <c r="R103" i="1"/>
  <c r="R104" i="1"/>
  <c r="R105" i="1"/>
  <c r="S105" i="1" s="1"/>
  <c r="R106" i="1"/>
  <c r="S106" i="1" s="1"/>
  <c r="R107" i="1"/>
  <c r="S107" i="1" s="1"/>
  <c r="R108" i="1"/>
  <c r="R109" i="1"/>
  <c r="R110" i="1"/>
  <c r="R111" i="1"/>
  <c r="R112" i="1"/>
  <c r="R113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M131" i="1"/>
  <c r="M130" i="1"/>
  <c r="N131" i="1"/>
  <c r="G131" i="1"/>
  <c r="R131" i="1" s="1"/>
  <c r="J131" i="1"/>
  <c r="F131" i="1"/>
  <c r="G130" i="1"/>
  <c r="R130" i="1" s="1"/>
  <c r="J130" i="1"/>
  <c r="S130" i="1" s="1"/>
  <c r="F130" i="1"/>
  <c r="Q129" i="1"/>
  <c r="M129" i="1"/>
  <c r="J129" i="1"/>
  <c r="F129" i="1"/>
  <c r="F128" i="1"/>
  <c r="M128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M21" i="1"/>
  <c r="F3" i="7" a="1"/>
  <c r="F3" i="7" s="1"/>
  <c r="N129" i="1" l="1"/>
  <c r="S129" i="1" s="1"/>
  <c r="S131" i="1"/>
  <c r="F3" i="11" a="1"/>
  <c r="F3" i="11" s="1"/>
  <c r="M127" i="1" l="1"/>
  <c r="M126" i="1"/>
  <c r="Q12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6" i="1"/>
  <c r="Q117" i="1"/>
  <c r="Q118" i="1"/>
  <c r="Q119" i="1"/>
  <c r="Q120" i="1"/>
  <c r="Q121" i="1"/>
  <c r="Q122" i="1"/>
  <c r="Q123" i="1"/>
  <c r="Q124" i="1"/>
  <c r="Q125" i="1"/>
  <c r="Q127" i="1"/>
  <c r="Q128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2" i="1"/>
  <c r="M101" i="1"/>
  <c r="M98" i="1"/>
  <c r="M90" i="1"/>
  <c r="M80" i="1"/>
  <c r="M32" i="1"/>
  <c r="F46" i="1"/>
  <c r="F21" i="1"/>
  <c r="M54" i="1"/>
  <c r="M55" i="1"/>
  <c r="M53" i="1"/>
  <c r="M46" i="1"/>
  <c r="M28" i="1"/>
  <c r="M29" i="1"/>
  <c r="M125" i="1" l="1"/>
  <c r="M123" i="1"/>
  <c r="M124" i="1"/>
  <c r="F121" i="1" l="1"/>
  <c r="M122" i="1"/>
  <c r="M121" i="1"/>
  <c r="M120" i="1"/>
  <c r="F120" i="1"/>
  <c r="M119" i="1"/>
  <c r="F119" i="1"/>
  <c r="M118" i="1"/>
  <c r="M117" i="1"/>
  <c r="J117" i="1"/>
  <c r="S117" i="1" s="1"/>
  <c r="F117" i="1"/>
  <c r="K115" i="1" l="1"/>
  <c r="H115" i="1"/>
  <c r="G115" i="1"/>
  <c r="F115" i="1"/>
  <c r="M115" i="1"/>
  <c r="N115" i="1"/>
  <c r="S115" i="1" s="1"/>
  <c r="R115" i="1" l="1"/>
  <c r="Q115" i="1"/>
  <c r="K114" i="1"/>
  <c r="F114" i="1"/>
  <c r="H114" i="1"/>
  <c r="M114" i="1"/>
  <c r="R114" i="1" l="1"/>
  <c r="Q114" i="1"/>
  <c r="M113" i="1"/>
  <c r="F116" i="1" l="1"/>
  <c r="M116" i="1" l="1"/>
  <c r="J116" i="1"/>
  <c r="S116" i="1" s="1"/>
  <c r="M112" i="1"/>
  <c r="M111" i="1"/>
  <c r="M110" i="1"/>
  <c r="M109" i="1" l="1"/>
  <c r="M108" i="1"/>
  <c r="M107" i="1"/>
  <c r="M106" i="1"/>
  <c r="M105" i="1"/>
  <c r="M104" i="1"/>
  <c r="M103" i="1"/>
  <c r="M102" i="1" l="1"/>
  <c r="M100" i="1" l="1"/>
  <c r="N99" i="1" l="1"/>
  <c r="S99" i="1" s="1"/>
  <c r="M99" i="1"/>
  <c r="I99" i="1" l="1"/>
  <c r="Q99" i="1" s="1"/>
  <c r="N97" i="1"/>
  <c r="S97" i="1" s="1"/>
  <c r="M97" i="1"/>
  <c r="M96" i="1" l="1"/>
  <c r="M95" i="1" l="1"/>
  <c r="M94" i="1"/>
  <c r="M93" i="1" l="1"/>
  <c r="M92" i="1"/>
  <c r="M91" i="1" l="1"/>
  <c r="M89" i="1" l="1"/>
  <c r="M88" i="1" l="1"/>
  <c r="F88" i="1" l="1"/>
  <c r="N87" i="1" l="1"/>
  <c r="M87" i="1"/>
  <c r="M86" i="1"/>
  <c r="M85" i="1"/>
  <c r="M84" i="1"/>
  <c r="M83" i="1"/>
  <c r="M82" i="1"/>
  <c r="M81" i="1"/>
  <c r="M79" i="1" l="1"/>
  <c r="M78" i="1" l="1"/>
  <c r="M76" i="1"/>
  <c r="M75" i="1" l="1"/>
  <c r="M74" i="1"/>
  <c r="M73" i="1"/>
  <c r="M72" i="1"/>
  <c r="M71" i="1"/>
  <c r="M70" i="1" l="1"/>
  <c r="M69" i="1"/>
  <c r="M65" i="1" l="1"/>
  <c r="M67" i="1"/>
  <c r="M66" i="1"/>
  <c r="M68" i="1"/>
  <c r="M64" i="1" l="1"/>
  <c r="N63" i="1"/>
  <c r="M63" i="1"/>
  <c r="M62" i="1" l="1"/>
  <c r="M61" i="1" l="1"/>
  <c r="M60" i="1" l="1"/>
  <c r="M59" i="1" l="1"/>
  <c r="M58" i="1" l="1"/>
  <c r="M57" i="1" l="1"/>
  <c r="F57" i="1"/>
  <c r="M56" i="1"/>
  <c r="M52" i="1"/>
  <c r="M51" i="1" l="1"/>
  <c r="M50" i="1"/>
  <c r="M49" i="1" l="1"/>
  <c r="M47" i="1" l="1"/>
  <c r="F45" i="1"/>
  <c r="M45" i="1"/>
  <c r="M41" i="1" l="1"/>
  <c r="M40" i="1"/>
  <c r="M39" i="1"/>
  <c r="M38" i="1" l="1"/>
  <c r="M37" i="1"/>
  <c r="M36" i="1"/>
  <c r="M35" i="1"/>
  <c r="M34" i="1"/>
  <c r="M33" i="1" l="1"/>
  <c r="M31" i="1"/>
  <c r="M30" i="1"/>
  <c r="M27" i="1" l="1"/>
  <c r="M23" i="1"/>
  <c r="M22" i="1"/>
  <c r="M25" i="1"/>
  <c r="M24" i="1"/>
  <c r="M20" i="1"/>
  <c r="F20" i="1"/>
  <c r="M19" i="1"/>
  <c r="M18" i="1"/>
  <c r="M13" i="1"/>
  <c r="M14" i="1"/>
  <c r="M15" i="1"/>
  <c r="M16" i="1" l="1"/>
  <c r="M17" i="1" l="1"/>
  <c r="M12" i="1"/>
  <c r="M11" i="1"/>
  <c r="M10" i="1"/>
  <c r="M9" i="1"/>
  <c r="M8" i="1"/>
  <c r="M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<sst xmlns="http://schemas.openxmlformats.org/spreadsheetml/2006/main" count="1233" uniqueCount="446">
  <si>
    <t>Offer number</t>
  </si>
  <si>
    <t>System integrator</t>
  </si>
  <si>
    <t>Project</t>
  </si>
  <si>
    <t>ESS/E4S</t>
  </si>
  <si>
    <t>p.p.</t>
  </si>
  <si>
    <t>L warehouse [m]</t>
  </si>
  <si>
    <t>D warehouse [m]</t>
  </si>
  <si>
    <t>H warehouse [m]</t>
  </si>
  <si>
    <t>N° levels</t>
  </si>
  <si>
    <t>N° aisles</t>
  </si>
  <si>
    <t>N° channel</t>
  </si>
  <si>
    <t>Total throughput</t>
  </si>
  <si>
    <t>N° machine</t>
  </si>
  <si>
    <t>Frozen</t>
  </si>
  <si>
    <t>Note</t>
  </si>
  <si>
    <t>V warehouse [m3]</t>
  </si>
  <si>
    <t>A warehouse [m2]</t>
  </si>
  <si>
    <t>N° machine/level</t>
  </si>
  <si>
    <t>2568-2024</t>
  </si>
  <si>
    <t>PM Group</t>
  </si>
  <si>
    <t>Frigo</t>
  </si>
  <si>
    <t>E4S</t>
  </si>
  <si>
    <t>No</t>
  </si>
  <si>
    <t>36-2025</t>
  </si>
  <si>
    <t>Daifuku US</t>
  </si>
  <si>
    <t>Southwire</t>
  </si>
  <si>
    <t>ESS</t>
  </si>
  <si>
    <t>45-2025</t>
  </si>
  <si>
    <t>KION ITS DE</t>
  </si>
  <si>
    <t>Westfalia-Spalding</t>
  </si>
  <si>
    <t>XX-2025</t>
  </si>
  <si>
    <t>Dematic NA</t>
  </si>
  <si>
    <t>Riverview_Stevens Milk Plant</t>
  </si>
  <si>
    <t>1780-2024C</t>
  </si>
  <si>
    <t>Viastore ES</t>
  </si>
  <si>
    <t>France ASRS</t>
  </si>
  <si>
    <t>103-2025</t>
  </si>
  <si>
    <t>Wipro Ferretto IT</t>
  </si>
  <si>
    <t>Magazzino -25°C</t>
  </si>
  <si>
    <t>Si</t>
  </si>
  <si>
    <t xml:space="preserve"> (-25° C)</t>
  </si>
  <si>
    <t>105-2025</t>
  </si>
  <si>
    <t>LCS IT</t>
  </si>
  <si>
    <t>Magazzino automatico LCS</t>
  </si>
  <si>
    <t>106-2025</t>
  </si>
  <si>
    <t>Linde  IT</t>
  </si>
  <si>
    <t>OCM Packaging</t>
  </si>
  <si>
    <t>134-2025</t>
  </si>
  <si>
    <t>Linde  DE</t>
  </si>
  <si>
    <t>Bristol Beverage</t>
  </si>
  <si>
    <t>59-2025</t>
  </si>
  <si>
    <t>Toyota BE</t>
  </si>
  <si>
    <t>BiscuiterieThijs</t>
  </si>
  <si>
    <t>188-2025</t>
  </si>
  <si>
    <t>Still PL</t>
  </si>
  <si>
    <t>Intersnack</t>
  </si>
  <si>
    <t>189-2025</t>
  </si>
  <si>
    <t>Savoye UAE</t>
  </si>
  <si>
    <t>Water Bottle</t>
  </si>
  <si>
    <t>212-2025</t>
  </si>
  <si>
    <t>Bastian US</t>
  </si>
  <si>
    <t>Test_1</t>
  </si>
  <si>
    <t>SI</t>
  </si>
  <si>
    <t>(-26°C)</t>
  </si>
  <si>
    <t>221-2025</t>
  </si>
  <si>
    <t>Fortna UK</t>
  </si>
  <si>
    <t>Bronderslev</t>
  </si>
  <si>
    <t>213-2025</t>
  </si>
  <si>
    <t>Test_2</t>
  </si>
  <si>
    <t>240-2025</t>
  </si>
  <si>
    <t>164-2025</t>
  </si>
  <si>
    <t>Still SR</t>
  </si>
  <si>
    <t>Lear Bratislava</t>
  </si>
  <si>
    <t>260-2025</t>
  </si>
  <si>
    <t>TGW Gmbh</t>
  </si>
  <si>
    <t>262-2025</t>
  </si>
  <si>
    <t>272-2025</t>
  </si>
  <si>
    <t>MINDA</t>
  </si>
  <si>
    <t>Sao Paolo</t>
  </si>
  <si>
    <t>305-2025</t>
  </si>
  <si>
    <t>Beiersdorf</t>
  </si>
  <si>
    <t>xxx-2025</t>
  </si>
  <si>
    <t>KION/Still/Linde BE</t>
  </si>
  <si>
    <t>Groningen</t>
  </si>
  <si>
    <t>302-2025</t>
  </si>
  <si>
    <t>Still CZ</t>
  </si>
  <si>
    <t>HOPI Logistics</t>
  </si>
  <si>
    <t>2126-2024B</t>
  </si>
  <si>
    <t>CLS</t>
  </si>
  <si>
    <t>OLVAN</t>
  </si>
  <si>
    <t>340-2025</t>
  </si>
  <si>
    <t>Puig France</t>
  </si>
  <si>
    <t>329-2025</t>
  </si>
  <si>
    <t>Dematic ES</t>
  </si>
  <si>
    <t>Tenerife</t>
  </si>
  <si>
    <t>174-2025</t>
  </si>
  <si>
    <t>Napoli</t>
  </si>
  <si>
    <t>348-2025</t>
  </si>
  <si>
    <t>Viastore FR</t>
  </si>
  <si>
    <t>Project  241624</t>
  </si>
  <si>
    <t xml:space="preserve">Linde Gmbh </t>
  </si>
  <si>
    <t>Greece_Zodiac</t>
  </si>
  <si>
    <t>2525-2024</t>
  </si>
  <si>
    <t>Cassioli</t>
  </si>
  <si>
    <t>Bakery</t>
  </si>
  <si>
    <t>(-25°C)</t>
  </si>
  <si>
    <t>362-2025</t>
  </si>
  <si>
    <t>INCAS - SSI Schaefer</t>
  </si>
  <si>
    <t>Bolzano</t>
  </si>
  <si>
    <t>362-2026</t>
  </si>
  <si>
    <t>362-2027</t>
  </si>
  <si>
    <t>362-2028</t>
  </si>
  <si>
    <t>385-2025</t>
  </si>
  <si>
    <t>Netherlands Fruits</t>
  </si>
  <si>
    <t>349-2025</t>
  </si>
  <si>
    <t>Riverview</t>
  </si>
  <si>
    <t>402-2025</t>
  </si>
  <si>
    <t>FB Industry AT</t>
  </si>
  <si>
    <t>Oberburg</t>
  </si>
  <si>
    <t>428-2025</t>
  </si>
  <si>
    <t>STO Corp</t>
  </si>
  <si>
    <t>399-2025</t>
  </si>
  <si>
    <t>Guven TR</t>
  </si>
  <si>
    <t>Corobo Project</t>
  </si>
  <si>
    <t>KION ITS</t>
  </si>
  <si>
    <t>IMP-TOLE</t>
  </si>
  <si>
    <t>430-2025</t>
  </si>
  <si>
    <t>SSI-Schaefer</t>
  </si>
  <si>
    <t>Honeylog 2</t>
  </si>
  <si>
    <t>Still DE</t>
  </si>
  <si>
    <t>453-2025</t>
  </si>
  <si>
    <t>Strathroy</t>
  </si>
  <si>
    <t>454-2025</t>
  </si>
  <si>
    <t>349-2025A</t>
  </si>
  <si>
    <t>55-60</t>
  </si>
  <si>
    <t>260-2025A</t>
  </si>
  <si>
    <t>262-2025A</t>
  </si>
  <si>
    <t>434-2025</t>
  </si>
  <si>
    <t>Linde Al Fuittam EAU</t>
  </si>
  <si>
    <t>Ahmad Tea</t>
  </si>
  <si>
    <t>2497-2024A</t>
  </si>
  <si>
    <t>United Petfood</t>
  </si>
  <si>
    <t>184-2025A</t>
  </si>
  <si>
    <t>Cassioli IT</t>
  </si>
  <si>
    <t>532-2025</t>
  </si>
  <si>
    <t>Neuenburg am Rhein</t>
  </si>
  <si>
    <t>542-2025</t>
  </si>
  <si>
    <t>Dense Storage</t>
  </si>
  <si>
    <t>521-2025</t>
  </si>
  <si>
    <t>Dematic DE</t>
  </si>
  <si>
    <t>Ashkelon</t>
  </si>
  <si>
    <t xml:space="preserve">ESS </t>
  </si>
  <si>
    <t>V</t>
  </si>
  <si>
    <t>481-2025</t>
  </si>
  <si>
    <t>Aiut PL</t>
  </si>
  <si>
    <t>Shuttle Warehouse</t>
  </si>
  <si>
    <t>TH</t>
  </si>
  <si>
    <t>477-2025</t>
  </si>
  <si>
    <t>Cosmonde RGQ</t>
  </si>
  <si>
    <t>59-2025C</t>
  </si>
  <si>
    <t>574-2025</t>
  </si>
  <si>
    <t>Barcelona</t>
  </si>
  <si>
    <t>NW</t>
  </si>
  <si>
    <t>521-2025A</t>
  </si>
  <si>
    <t>592-2025</t>
  </si>
  <si>
    <t>Dematic FR</t>
  </si>
  <si>
    <t>ROM</t>
  </si>
  <si>
    <t>F</t>
  </si>
  <si>
    <t>570-2025</t>
  </si>
  <si>
    <t>Still IT</t>
  </si>
  <si>
    <t>Vodafone</t>
  </si>
  <si>
    <t>571-2025</t>
  </si>
  <si>
    <t>Pomus</t>
  </si>
  <si>
    <t>606-2025</t>
  </si>
  <si>
    <t>Production Reality AU</t>
  </si>
  <si>
    <t>Freezer ASRS</t>
  </si>
  <si>
    <t>(-20°C)</t>
  </si>
  <si>
    <t>548-2025</t>
  </si>
  <si>
    <t>Cainam TWN</t>
  </si>
  <si>
    <t>Toying Depot</t>
  </si>
  <si>
    <t>549-2025</t>
  </si>
  <si>
    <t>Yen Chow</t>
  </si>
  <si>
    <t>400-2025</t>
  </si>
  <si>
    <t>Degrosolution</t>
  </si>
  <si>
    <t>Brescia</t>
  </si>
  <si>
    <t>410-2025A</t>
  </si>
  <si>
    <t>Still GmBH</t>
  </si>
  <si>
    <t>DK-S-MAE-ASTI</t>
  </si>
  <si>
    <t>583-2025</t>
  </si>
  <si>
    <t>P3734 - Magazzino Pallet</t>
  </si>
  <si>
    <t>302-2025B</t>
  </si>
  <si>
    <t>134-2025A</t>
  </si>
  <si>
    <t>Bristol Beverage [Refresco]</t>
  </si>
  <si>
    <t>653-2025</t>
  </si>
  <si>
    <t>Koerber PT</t>
  </si>
  <si>
    <t>Lyon</t>
  </si>
  <si>
    <t>model 3</t>
  </si>
  <si>
    <t>641-2025</t>
  </si>
  <si>
    <t>Dematic PTE</t>
  </si>
  <si>
    <t>Appetite CP1</t>
  </si>
  <si>
    <t>642-2025</t>
  </si>
  <si>
    <t>Appetite CP2 Chilled</t>
  </si>
  <si>
    <t>643-2025</t>
  </si>
  <si>
    <t>Appetite CP3 Frozen</t>
  </si>
  <si>
    <t>(-18°C)</t>
  </si>
  <si>
    <t>684-2025</t>
  </si>
  <si>
    <t>Still Gmbh - DE</t>
  </si>
  <si>
    <t>Gunzburg</t>
  </si>
  <si>
    <t>(-22°C)</t>
  </si>
  <si>
    <t>688-2025</t>
  </si>
  <si>
    <t>Berlin</t>
  </si>
  <si>
    <t>681-2025</t>
  </si>
  <si>
    <t>Newcold US</t>
  </si>
  <si>
    <t>IN02</t>
  </si>
  <si>
    <t>Sì</t>
  </si>
  <si>
    <t>701-2025</t>
  </si>
  <si>
    <t>Albertsons</t>
  </si>
  <si>
    <t>718-2025</t>
  </si>
  <si>
    <t>Toyota UK</t>
  </si>
  <si>
    <t>Surya Food</t>
  </si>
  <si>
    <t>739-2025</t>
  </si>
  <si>
    <t>APA Group PL</t>
  </si>
  <si>
    <t>K+N transport</t>
  </si>
  <si>
    <t>733-2025</t>
  </si>
  <si>
    <t>System Logistics IT</t>
  </si>
  <si>
    <t>SLC-RBARI Arizona (beverage)</t>
  </si>
  <si>
    <t>NewCold US</t>
  </si>
  <si>
    <t>con reshuffling</t>
  </si>
  <si>
    <t>senza reshuffling</t>
  </si>
  <si>
    <t>652-2025</t>
  </si>
  <si>
    <t>Mirage</t>
  </si>
  <si>
    <t>NO</t>
  </si>
  <si>
    <t>755-2025</t>
  </si>
  <si>
    <t>Screwfix</t>
  </si>
  <si>
    <t>688-2025A</t>
  </si>
  <si>
    <t>Berlin (TOT - Phase 3)</t>
  </si>
  <si>
    <t>Berlin (Phase 1)</t>
  </si>
  <si>
    <t>Berlin (Phase 2)</t>
  </si>
  <si>
    <t>684-2025A</t>
  </si>
  <si>
    <t>Roen IT</t>
  </si>
  <si>
    <t>Test</t>
  </si>
  <si>
    <t>Solo Concept</t>
  </si>
  <si>
    <t>184-2025</t>
  </si>
  <si>
    <t>Moveo e Servizi</t>
  </si>
  <si>
    <t>ASRS Viteria</t>
  </si>
  <si>
    <t>posti pallet da raddoppiare</t>
  </si>
  <si>
    <t>6 pp reshuffling</t>
  </si>
  <si>
    <t>790-2025</t>
  </si>
  <si>
    <t>Schoeler</t>
  </si>
  <si>
    <t>model 2 &amp; model 2 TH</t>
  </si>
  <si>
    <t>2577-2024B</t>
  </si>
  <si>
    <t>Nabaltec</t>
  </si>
  <si>
    <t>model 3 GW</t>
  </si>
  <si>
    <t>820-2025</t>
  </si>
  <si>
    <t>Cassioli BR</t>
  </si>
  <si>
    <t>Unilever</t>
  </si>
  <si>
    <t>model 3 NW</t>
  </si>
  <si>
    <t>Media di N° machine/level</t>
  </si>
  <si>
    <t>Throughput [PPH]</t>
  </si>
  <si>
    <t>A warehouse (m²)</t>
  </si>
  <si>
    <t>0-24</t>
  </si>
  <si>
    <t>25-49</t>
  </si>
  <si>
    <t>50-74</t>
  </si>
  <si>
    <t>75-99</t>
  </si>
  <si>
    <t>100-124</t>
  </si>
  <si>
    <t>125-149</t>
  </si>
  <si>
    <t>150-174</t>
  </si>
  <si>
    <t>175-199</t>
  </si>
  <si>
    <t>200-224</t>
  </si>
  <si>
    <t>225-249</t>
  </si>
  <si>
    <t>250-274</t>
  </si>
  <si>
    <t>275-299</t>
  </si>
  <si>
    <t>300-324</t>
  </si>
  <si>
    <t>450-474</t>
  </si>
  <si>
    <t>475-499</t>
  </si>
  <si>
    <t>500-524</t>
  </si>
  <si>
    <t>700-724</t>
  </si>
  <si>
    <t>Totale complessivo</t>
  </si>
  <si>
    <t>0-1999</t>
  </si>
  <si>
    <t>2000-3999</t>
  </si>
  <si>
    <t>4000-5999</t>
  </si>
  <si>
    <t>6000-7999</t>
  </si>
  <si>
    <t>8000-9999</t>
  </si>
  <si>
    <t>12000-13999</t>
  </si>
  <si>
    <t>22000-23999</t>
  </si>
  <si>
    <t>24000-25999</t>
  </si>
  <si>
    <t>26000-27999</t>
  </si>
  <si>
    <t>Height [m]</t>
  </si>
  <si>
    <t>Lenght [m]</t>
  </si>
  <si>
    <t>0-5</t>
  </si>
  <si>
    <t>5-10</t>
  </si>
  <si>
    <t>10-15</t>
  </si>
  <si>
    <t>15-20</t>
  </si>
  <si>
    <t>20-25</t>
  </si>
  <si>
    <t>25-30</t>
  </si>
  <si>
    <t>30-35</t>
  </si>
  <si>
    <t>40-45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</si>
  <si>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</si>
  <si>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</si>
  <si>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</si>
  <si>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</si>
  <si>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</si>
  <si>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</si>
  <si>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</si>
  <si>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</si>
  <si>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</si>
  <si>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</si>
  <si>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110-119</t>
  </si>
  <si>
    <t>120-129</t>
  </si>
  <si>
    <t>130-139</t>
  </si>
  <si>
    <t>180-189</t>
  </si>
  <si>
    <t>240-249</t>
  </si>
  <si>
    <t>Depth [m]</t>
  </si>
  <si>
    <t>8-17</t>
  </si>
  <si>
    <t>18-27</t>
  </si>
  <si>
    <t>28-37</t>
  </si>
  <si>
    <t>38-47</t>
  </si>
  <si>
    <t>48-57</t>
  </si>
  <si>
    <t>58-67</t>
  </si>
  <si>
    <t>68-77</t>
  </si>
  <si>
    <t>78-87</t>
  </si>
  <si>
    <t>88-97</t>
  </si>
  <si>
    <t>98-107</t>
  </si>
  <si>
    <t>128-137</t>
  </si>
  <si>
    <t>Volume [m3]</t>
  </si>
  <si>
    <t>0-15000</t>
  </si>
  <si>
    <t>15000-30000</t>
  </si>
  <si>
    <t>30000-45000</t>
  </si>
  <si>
    <t>45000-60000</t>
  </si>
  <si>
    <t>60000-75000</t>
  </si>
  <si>
    <t>75000-90000</t>
  </si>
  <si>
    <t>90000-105000</t>
  </si>
  <si>
    <t>105000-120000</t>
  </si>
  <si>
    <t>135000-150000</t>
  </si>
  <si>
    <t>180000-195000</t>
  </si>
  <si>
    <t>210000-225000</t>
  </si>
  <si>
    <t>255000-270000</t>
  </si>
  <si>
    <t>285000-300000</t>
  </si>
  <si>
    <t>375000-390000</t>
  </si>
  <si>
    <t>Pallet Locations</t>
  </si>
  <si>
    <t>10000-11999</t>
  </si>
  <si>
    <t>14000-15999</t>
  </si>
  <si>
    <t>18000-19999</t>
  </si>
  <si>
    <t>20000-21999</t>
  </si>
  <si>
    <t>38000-39999</t>
  </si>
  <si>
    <t>42000-43999</t>
  </si>
  <si>
    <t>50000-51999</t>
  </si>
  <si>
    <t>78000-79999</t>
  </si>
  <si>
    <t>(più elementi)</t>
  </si>
  <si>
    <t>Total Throughput</t>
  </si>
  <si>
    <t>350-374</t>
  </si>
  <si>
    <t>375-399</t>
  </si>
  <si>
    <t>400-424</t>
  </si>
  <si>
    <t>600-624</t>
  </si>
  <si>
    <t>975-999</t>
  </si>
  <si>
    <t>160-169</t>
  </si>
  <si>
    <t>170-179</t>
  </si>
  <si>
    <t>230-239</t>
  </si>
  <si>
    <t>108-117</t>
  </si>
  <si>
    <t>Troughput [PPH]</t>
  </si>
  <si>
    <t>120000-135000</t>
  </si>
  <si>
    <t>150000-165000</t>
  </si>
  <si>
    <t>195000-210000</t>
  </si>
  <si>
    <t>270000-285000</t>
  </si>
  <si>
    <t>300000-315000</t>
  </si>
  <si>
    <t>28000-29999</t>
  </si>
  <si>
    <t>34000-35999</t>
  </si>
  <si>
    <t>40000-41999</t>
  </si>
  <si>
    <t>44000-45999</t>
  </si>
  <si>
    <t>46000-47999</t>
  </si>
  <si>
    <t>48000-49999</t>
  </si>
  <si>
    <t>52000-53999</t>
  </si>
  <si>
    <t>76000-77999</t>
  </si>
  <si>
    <t>Media di N° machine</t>
  </si>
  <si>
    <t>flusso</t>
  </si>
  <si>
    <t>volume</t>
  </si>
  <si>
    <t>0-19</t>
  </si>
  <si>
    <t>20-39</t>
  </si>
  <si>
    <t>40-59</t>
  </si>
  <si>
    <t>60-79</t>
  </si>
  <si>
    <t>80-99</t>
  </si>
  <si>
    <t>100-119</t>
  </si>
  <si>
    <t>120-139</t>
  </si>
  <si>
    <t>140-159</t>
  </si>
  <si>
    <t>160-179</t>
  </si>
  <si>
    <t>180-199</t>
  </si>
  <si>
    <t>200-219</t>
  </si>
  <si>
    <t>220-239</t>
  </si>
  <si>
    <t>260-279</t>
  </si>
  <si>
    <t>280-299</t>
  </si>
  <si>
    <t>300-319</t>
  </si>
  <si>
    <t>440-459</t>
  </si>
  <si>
    <t>460-479</t>
  </si>
  <si>
    <t>480-499</t>
  </si>
  <si>
    <t>500-519</t>
  </si>
  <si>
    <t>700-719</t>
  </si>
  <si>
    <t>0-5000</t>
  </si>
  <si>
    <r>
      <rPr>
        <b/>
        <sz val="14"/>
        <color theme="1"/>
        <rFont val="Aptos Narrow"/>
        <family val="2"/>
        <scheme val="minor"/>
      </rPr>
      <t xml:space="preserve">1) </t>
    </r>
    <r>
      <rPr>
        <sz val="14"/>
        <color theme="1"/>
        <rFont val="Aptos Narrow"/>
        <family val="2"/>
        <scheme val="minor"/>
      </rPr>
      <t xml:space="preserve"> Selezionare una cella qualsiasi dellla tabella Pivot
</t>
    </r>
    <r>
      <rPr>
        <b/>
        <sz val="14"/>
        <color theme="1"/>
        <rFont val="Aptos Narrow"/>
        <family val="2"/>
        <scheme val="minor"/>
      </rPr>
      <t>2)</t>
    </r>
    <r>
      <rPr>
        <sz val="14"/>
        <color theme="1"/>
        <rFont val="Aptos Narrow"/>
        <family val="2"/>
        <scheme val="minor"/>
      </rPr>
      <t xml:space="preserve">  Clicca sulla barra "</t>
    </r>
    <r>
      <rPr>
        <b/>
        <i/>
        <sz val="14"/>
        <color theme="1"/>
        <rFont val="Aptos Narrow"/>
        <family val="2"/>
        <scheme val="minor"/>
      </rPr>
      <t>Analisi tabella Pivot</t>
    </r>
    <r>
      <rPr>
        <sz val="14"/>
        <color theme="1"/>
        <rFont val="Aptos Narrow"/>
        <family val="2"/>
        <scheme val="minor"/>
      </rPr>
      <t xml:space="preserve">" in alto a dx
</t>
    </r>
    <r>
      <rPr>
        <b/>
        <sz val="14"/>
        <color theme="1"/>
        <rFont val="Aptos Narrow"/>
        <family val="2"/>
        <scheme val="minor"/>
      </rPr>
      <t>3)</t>
    </r>
    <r>
      <rPr>
        <sz val="14"/>
        <color theme="1"/>
        <rFont val="Aptos Narrow"/>
        <family val="2"/>
        <scheme val="minor"/>
      </rPr>
      <t xml:space="preserve">  Selezionare una casella delle "</t>
    </r>
    <r>
      <rPr>
        <b/>
        <i/>
        <sz val="14"/>
        <color theme="1"/>
        <rFont val="Aptos Narrow"/>
        <family val="2"/>
        <scheme val="minor"/>
      </rPr>
      <t>Etichette di colonna</t>
    </r>
    <r>
      <rPr>
        <i/>
        <sz val="14"/>
        <color theme="1"/>
        <rFont val="Aptos Narrow"/>
        <family val="2"/>
        <scheme val="minor"/>
      </rPr>
      <t xml:space="preserve">" </t>
    </r>
    <r>
      <rPr>
        <sz val="14"/>
        <color theme="1"/>
        <rFont val="Aptos Narrow"/>
        <family val="2"/>
        <scheme val="minor"/>
      </rPr>
      <t>, poi utilizzare il comando "</t>
    </r>
    <r>
      <rPr>
        <b/>
        <i/>
        <sz val="14"/>
        <color theme="1"/>
        <rFont val="Aptos Narrow"/>
        <family val="2"/>
        <scheme val="minor"/>
      </rPr>
      <t>Gruppo da Campo</t>
    </r>
    <r>
      <rPr>
        <i/>
        <sz val="14"/>
        <color theme="1"/>
        <rFont val="Aptos Narrow"/>
        <family val="2"/>
        <scheme val="minor"/>
      </rPr>
      <t xml:space="preserve">"
</t>
    </r>
    <r>
      <rPr>
        <b/>
        <sz val="14"/>
        <color theme="1"/>
        <rFont val="Aptos Narrow"/>
        <family val="2"/>
        <scheme val="minor"/>
      </rPr>
      <t xml:space="preserve">4)  </t>
    </r>
    <r>
      <rPr>
        <sz val="14"/>
        <color theme="1"/>
        <rFont val="Aptos Narrow"/>
        <family val="2"/>
        <scheme val="minor"/>
      </rPr>
      <t xml:space="preserve">Ripetere la procedura del punto "3" su una casella delle </t>
    </r>
    <r>
      <rPr>
        <i/>
        <sz val="14"/>
        <color theme="1"/>
        <rFont val="Aptos Narrow"/>
        <family val="2"/>
        <scheme val="minor"/>
      </rPr>
      <t>"</t>
    </r>
    <r>
      <rPr>
        <b/>
        <i/>
        <sz val="14"/>
        <color theme="1"/>
        <rFont val="Aptos Narrow"/>
        <family val="2"/>
        <scheme val="minor"/>
      </rPr>
      <t>Etichette di riga</t>
    </r>
    <r>
      <rPr>
        <i/>
        <sz val="14"/>
        <color theme="1"/>
        <rFont val="Aptos Narrow"/>
        <family val="2"/>
        <scheme val="minor"/>
      </rPr>
      <t xml:space="preserve">"
</t>
    </r>
    <r>
      <rPr>
        <b/>
        <i/>
        <sz val="14"/>
        <color theme="1"/>
        <rFont val="Aptos Narrow"/>
        <family val="2"/>
        <scheme val="minor"/>
      </rPr>
      <t>5</t>
    </r>
    <r>
      <rPr>
        <b/>
        <sz val="14"/>
        <color theme="1"/>
        <rFont val="Aptos Narrow"/>
        <family val="2"/>
        <scheme val="minor"/>
      </rPr>
      <t xml:space="preserve">) </t>
    </r>
    <r>
      <rPr>
        <sz val="14"/>
        <color theme="1"/>
        <rFont val="Aptos Narrow"/>
        <family val="2"/>
        <scheme val="minor"/>
      </rPr>
      <t xml:space="preserve"> Infine, selezionare il range di Throughput e di Volume di magazzino desiderati</t>
    </r>
  </si>
  <si>
    <t>5000-10000</t>
  </si>
  <si>
    <t>10000-15000</t>
  </si>
  <si>
    <t>15000-20000</t>
  </si>
  <si>
    <t>20000-25000</t>
  </si>
  <si>
    <t>25000-30000</t>
  </si>
  <si>
    <t>30000-35000</t>
  </si>
  <si>
    <t>35000-40000</t>
  </si>
  <si>
    <t>40000-45000</t>
  </si>
  <si>
    <t>45000-50000</t>
  </si>
  <si>
    <t>50000-55000</t>
  </si>
  <si>
    <t>60000-65000</t>
  </si>
  <si>
    <t>65000-70000</t>
  </si>
  <si>
    <t>70000-75000</t>
  </si>
  <si>
    <t>75000-80000</t>
  </si>
  <si>
    <t>85000-90000</t>
  </si>
  <si>
    <t>90000-95000</t>
  </si>
  <si>
    <t>95000-100000</t>
  </si>
  <si>
    <t>105000-110000</t>
  </si>
  <si>
    <t>110000-115000</t>
  </si>
  <si>
    <t>145000-150000</t>
  </si>
  <si>
    <t>185000-190000</t>
  </si>
  <si>
    <t>210000-215000</t>
  </si>
  <si>
    <t>215000-220000</t>
  </si>
  <si>
    <t>220000-225000</t>
  </si>
  <si>
    <t>260000-265000</t>
  </si>
  <si>
    <t>295000-300000</t>
  </si>
  <si>
    <t>375000-380000</t>
  </si>
  <si>
    <t>Somma di N° machine</t>
  </si>
  <si>
    <t>Etichette di colonna</t>
  </si>
  <si>
    <t>Etichette di riga</t>
  </si>
  <si>
    <t>360-379</t>
  </si>
  <si>
    <t>380-399</t>
  </si>
  <si>
    <t>400-419</t>
  </si>
  <si>
    <t>600-619</t>
  </si>
  <si>
    <t>960-979</t>
  </si>
  <si>
    <t>55000-60000</t>
  </si>
  <si>
    <t>115000-120000</t>
  </si>
  <si>
    <t>120000-125000</t>
  </si>
  <si>
    <t>130000-135000</t>
  </si>
  <si>
    <t>150000-155000</t>
  </si>
  <si>
    <t>160000-165000</t>
  </si>
  <si>
    <t>180000-185000</t>
  </si>
  <si>
    <t>190000-195000</t>
  </si>
  <si>
    <t>200000-205000</t>
  </si>
  <si>
    <t>265000-270000</t>
  </si>
  <si>
    <t>270000-275000</t>
  </si>
  <si>
    <t>310000-315000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</si>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</sst>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1" xfId="0" applyBorder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0" xfId="0" applyAlignment="1">
      <alignment horizontal="right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left" vertical="center"/>
    </xf>
    <xf numFmtId="0" fontId="0" fillId="0" borderId="0" xfId="0" applyAlignment="1">
      <alignment horizontal="center" vertical="center" indent="1"/>
    </xf>
    <xf numFmtId="1" fontId="0" fillId="0" borderId="0" xfId="0" applyNumberFormat="1" applyAlignment="1">
      <alignment horizontal="left"/>
    </xf>
    <xf numFmtId="0" fontId="4" fillId="3" borderId="0" xfId="0" applyFont="1" applyFill="1" applyAlignment="1">
      <alignment horizontal="left" vertical="top" wrapText="1"/>
    </xf>
  </cellXfs>
  <cellStyles count="1">
    <cellStyle name="Normale" xfId="0" builtinId="0"/>
  </cellStyles>
  <dxfs count="4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/>
        <right/>
        <top/>
        <bottom/>
        <vertical/>
      </border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/>
        <right/>
        <top/>
        <bottom/>
        <vertical/>
      </border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4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3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[03 - registro progetti shuttle.xlsx]E4S (A x PPH)!Tabella pivot1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'E4S (A x PPH)'!$C$3:$C$4</c:f>
              <c:strCache>
                <c:ptCount val="1"/>
                <c:pt idx="0">
                  <c:v>0-24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PPH)'!$C$5:$C$14</c:f>
              <c:numCache>
                <c:formatCode>0</c:formatCode>
                <c:ptCount val="9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0-4CDE-8BFC-7ABAE337F503}"/>
            </c:ext>
          </c:extLst>
        </c:ser>
        <c:ser>
          <c:idx val="1"/>
          <c:order val="1"/>
          <c:tx>
            <c:strRef>
              <c:f>'E4S (A x PPH)'!$D$3:$D$4</c:f>
              <c:strCache>
                <c:ptCount val="1"/>
                <c:pt idx="0">
                  <c:v>25-49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PPH)'!$D$5:$D$14</c:f>
              <c:numCache>
                <c:formatCode>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80-4CDE-8BFC-7ABAE337F503}"/>
            </c:ext>
          </c:extLst>
        </c:ser>
        <c:ser>
          <c:idx val="2"/>
          <c:order val="2"/>
          <c:tx>
            <c:strRef>
              <c:f>'E4S (A x PPH)'!$E$3:$E$4</c:f>
              <c:strCache>
                <c:ptCount val="1"/>
                <c:pt idx="0">
                  <c:v>50-74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PPH)'!$E$5:$E$14</c:f>
              <c:numCache>
                <c:formatCode>0</c:formatCode>
                <c:ptCount val="9"/>
                <c:pt idx="0">
                  <c:v>1.3333333333333333</c:v>
                </c:pt>
                <c:pt idx="1">
                  <c:v>1</c:v>
                </c:pt>
                <c:pt idx="2">
                  <c:v>1</c:v>
                </c:pt>
                <c:pt idx="3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80-4CDE-8BFC-7ABAE337F503}"/>
            </c:ext>
          </c:extLst>
        </c:ser>
        <c:ser>
          <c:idx val="3"/>
          <c:order val="3"/>
          <c:tx>
            <c:strRef>
              <c:f>'E4S (A x PPH)'!$F$3:$F$4</c:f>
              <c:strCache>
                <c:ptCount val="1"/>
                <c:pt idx="0">
                  <c:v>75-99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PPH)'!$F$5:$F$14</c:f>
              <c:numCache>
                <c:formatCode>0</c:formatCode>
                <c:ptCount val="9"/>
                <c:pt idx="0">
                  <c:v>1.6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80-4CDE-8BFC-7ABAE337F503}"/>
            </c:ext>
          </c:extLst>
        </c:ser>
        <c:ser>
          <c:idx val="4"/>
          <c:order val="4"/>
          <c:tx>
            <c:strRef>
              <c:f>'E4S (A x PPH)'!$G$3:$G$4</c:f>
              <c:strCache>
                <c:ptCount val="1"/>
                <c:pt idx="0">
                  <c:v>100-124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PPH)'!$G$5:$G$14</c:f>
              <c:numCache>
                <c:formatCode>0</c:formatCode>
                <c:ptCount val="9"/>
                <c:pt idx="0">
                  <c:v>1.4545454545454546</c:v>
                </c:pt>
                <c:pt idx="1">
                  <c:v>1.6666666666666667</c:v>
                </c:pt>
                <c:pt idx="2">
                  <c:v>1</c:v>
                </c:pt>
                <c:pt idx="3">
                  <c:v>1.6666666666666667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80-4CDE-8BFC-7ABAE337F503}"/>
            </c:ext>
          </c:extLst>
        </c:ser>
        <c:ser>
          <c:idx val="5"/>
          <c:order val="5"/>
          <c:tx>
            <c:strRef>
              <c:f>'E4S (A x PPH)'!$H$3:$H$4</c:f>
              <c:strCache>
                <c:ptCount val="1"/>
                <c:pt idx="0">
                  <c:v>125-149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PPH)'!$H$5:$H$14</c:f>
              <c:numCache>
                <c:formatCode>0</c:formatCode>
                <c:ptCount val="9"/>
                <c:pt idx="0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80-4CDE-8BFC-7ABAE337F503}"/>
            </c:ext>
          </c:extLst>
        </c:ser>
        <c:ser>
          <c:idx val="6"/>
          <c:order val="6"/>
          <c:tx>
            <c:strRef>
              <c:f>'E4S (A x PPH)'!$I$3:$I$4</c:f>
              <c:strCache>
                <c:ptCount val="1"/>
                <c:pt idx="0">
                  <c:v>150-174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PPH)'!$I$5:$I$14</c:f>
              <c:numCache>
                <c:formatCode>0</c:formatCode>
                <c:ptCount val="9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80-4CDE-8BFC-7ABAE337F503}"/>
            </c:ext>
          </c:extLst>
        </c:ser>
        <c:ser>
          <c:idx val="7"/>
          <c:order val="7"/>
          <c:tx>
            <c:strRef>
              <c:f>'E4S (A x PPH)'!$J$3:$J$4</c:f>
              <c:strCache>
                <c:ptCount val="1"/>
                <c:pt idx="0">
                  <c:v>175-199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PPH)'!$J$5:$J$14</c:f>
              <c:numCache>
                <c:formatCode>0</c:formatCode>
                <c:ptCount val="9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80-4CDE-8BFC-7ABAE337F503}"/>
            </c:ext>
          </c:extLst>
        </c:ser>
        <c:ser>
          <c:idx val="8"/>
          <c:order val="8"/>
          <c:tx>
            <c:strRef>
              <c:f>'E4S (A x PPH)'!$K$3:$K$4</c:f>
              <c:strCache>
                <c:ptCount val="1"/>
                <c:pt idx="0">
                  <c:v>200-224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PPH)'!$K$5:$K$14</c:f>
              <c:numCache>
                <c:formatCode>0</c:formatCode>
                <c:ptCount val="9"/>
                <c:pt idx="2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80-4CDE-8BFC-7ABAE337F503}"/>
            </c:ext>
          </c:extLst>
        </c:ser>
        <c:ser>
          <c:idx val="9"/>
          <c:order val="9"/>
          <c:tx>
            <c:strRef>
              <c:f>'E4S (A x PPH)'!$L$3:$L$4</c:f>
              <c:strCache>
                <c:ptCount val="1"/>
                <c:pt idx="0">
                  <c:v>225-249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PPH)'!$L$5:$L$14</c:f>
              <c:numCache>
                <c:formatCode>0</c:formatCode>
                <c:ptCount val="9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80-4CDE-8BFC-7ABAE337F503}"/>
            </c:ext>
          </c:extLst>
        </c:ser>
        <c:ser>
          <c:idx val="10"/>
          <c:order val="10"/>
          <c:tx>
            <c:strRef>
              <c:f>'E4S (A x PPH)'!$M$3:$M$4</c:f>
              <c:strCache>
                <c:ptCount val="1"/>
                <c:pt idx="0">
                  <c:v>250-274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PPH)'!$M$5:$M$14</c:f>
              <c:numCache>
                <c:formatCode>0</c:formatCode>
                <c:ptCount val="9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80-4CDE-8BFC-7ABAE337F503}"/>
            </c:ext>
          </c:extLst>
        </c:ser>
        <c:ser>
          <c:idx val="11"/>
          <c:order val="11"/>
          <c:tx>
            <c:strRef>
              <c:f>'E4S (A x PPH)'!$N$3:$N$4</c:f>
              <c:strCache>
                <c:ptCount val="1"/>
                <c:pt idx="0">
                  <c:v>275-299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PPH)'!$N$5:$N$14</c:f>
              <c:numCache>
                <c:formatCode>0</c:formatCode>
                <c:ptCount val="9"/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C-4585-A698-67CE3FFA1517}"/>
            </c:ext>
          </c:extLst>
        </c:ser>
        <c:ser>
          <c:idx val="12"/>
          <c:order val="12"/>
          <c:tx>
            <c:strRef>
              <c:f>'E4S (A x PPH)'!$O$3:$O$4</c:f>
              <c:strCache>
                <c:ptCount val="1"/>
                <c:pt idx="0">
                  <c:v>300-324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PPH)'!$O$5:$O$14</c:f>
              <c:numCache>
                <c:formatCode>0</c:formatCode>
                <c:ptCount val="9"/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1C-4585-A698-67CE3FFA1517}"/>
            </c:ext>
          </c:extLst>
        </c:ser>
        <c:ser>
          <c:idx val="13"/>
          <c:order val="13"/>
          <c:tx>
            <c:strRef>
              <c:f>'E4S (A x PPH)'!$P$3:$P$4</c:f>
              <c:strCache>
                <c:ptCount val="1"/>
                <c:pt idx="0">
                  <c:v>450-474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PPH)'!$P$5:$P$14</c:f>
              <c:numCache>
                <c:formatCode>0</c:formatCode>
                <c:ptCount val="9"/>
                <c:pt idx="1">
                  <c:v>5.333333333333333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1C-4585-A698-67CE3FFA1517}"/>
            </c:ext>
          </c:extLst>
        </c:ser>
        <c:ser>
          <c:idx val="14"/>
          <c:order val="14"/>
          <c:tx>
            <c:strRef>
              <c:f>'E4S (A x PPH)'!$Q$3:$Q$4</c:f>
              <c:strCache>
                <c:ptCount val="1"/>
                <c:pt idx="0">
                  <c:v>475-499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PPH)'!$Q$5:$Q$14</c:f>
              <c:numCache>
                <c:formatCode>0</c:formatCode>
                <c:ptCount val="9"/>
                <c:pt idx="6">
                  <c:v>11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1C-4585-A698-67CE3FFA1517}"/>
            </c:ext>
          </c:extLst>
        </c:ser>
        <c:ser>
          <c:idx val="15"/>
          <c:order val="15"/>
          <c:tx>
            <c:strRef>
              <c:f>'E4S (A x PPH)'!$R$3:$R$4</c:f>
              <c:strCache>
                <c:ptCount val="1"/>
                <c:pt idx="0">
                  <c:v>500-524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PPH)'!$R$5:$R$14</c:f>
              <c:numCache>
                <c:formatCode>0</c:formatCode>
                <c:ptCount val="9"/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1C-4585-A698-67CE3FFA1517}"/>
            </c:ext>
          </c:extLst>
        </c:ser>
        <c:ser>
          <c:idx val="16"/>
          <c:order val="16"/>
          <c:tx>
            <c:strRef>
              <c:f>'E4S (A x PPH)'!$S$3:$S$4</c:f>
              <c:strCache>
                <c:ptCount val="1"/>
                <c:pt idx="0">
                  <c:v>700-724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(A x PPH)'!$B$5:$B$14</c:f>
              <c:strCache>
                <c:ptCount val="9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12000-13999</c:v>
                </c:pt>
                <c:pt idx="6">
                  <c:v>22000-23999</c:v>
                </c:pt>
                <c:pt idx="7">
                  <c:v>24000-25999</c:v>
                </c:pt>
                <c:pt idx="8">
                  <c:v>26000-27999</c:v>
                </c:pt>
              </c:strCache>
            </c:strRef>
          </c:cat>
          <c:val>
            <c:numRef>
              <c:f>'E4S (A x PPH)'!$S$5:$S$14</c:f>
              <c:numCache>
                <c:formatCode>0</c:formatCode>
                <c:ptCount val="9"/>
                <c:pt idx="2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1C-4585-A698-67CE3FFA1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0960127"/>
        <c:axId val="1850961567"/>
        <c:axId val="0"/>
      </c:bar3DChart>
      <c:catAx>
        <c:axId val="185096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0961567"/>
        <c:crosses val="autoZero"/>
        <c:auto val="1"/>
        <c:lblAlgn val="ctr"/>
        <c:lblOffset val="100"/>
        <c:noMultiLvlLbl val="0"/>
      </c:catAx>
      <c:valAx>
        <c:axId val="185096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096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[03 - registro progetti shuttle.xlsx]E4S (L x H)!Tabella pivot1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'E4S (L x H)'!$C$3:$C$4</c:f>
              <c:strCache>
                <c:ptCount val="1"/>
                <c:pt idx="0">
                  <c:v>0-5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'E4S (L x H)'!$B$5:$B$20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H)'!$C$5:$C$20</c:f>
              <c:numCache>
                <c:formatCode>0</c:formatCode>
                <c:ptCount val="15"/>
                <c:pt idx="1">
                  <c:v>1.5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F-4DC9-8679-3D8C720FAB8B}"/>
            </c:ext>
          </c:extLst>
        </c:ser>
        <c:ser>
          <c:idx val="1"/>
          <c:order val="1"/>
          <c:tx>
            <c:strRef>
              <c:f>'E4S (L x H)'!$D$3:$D$4</c:f>
              <c:strCache>
                <c:ptCount val="1"/>
                <c:pt idx="0">
                  <c:v>5-10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'E4S (L x H)'!$B$5:$B$20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H)'!$D$5:$D$20</c:f>
              <c:numCache>
                <c:formatCode>0</c:formatCode>
                <c:ptCount val="15"/>
                <c:pt idx="2">
                  <c:v>2</c:v>
                </c:pt>
                <c:pt idx="3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10">
                  <c:v>4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F-4DC9-8679-3D8C720FAB8B}"/>
            </c:ext>
          </c:extLst>
        </c:ser>
        <c:ser>
          <c:idx val="2"/>
          <c:order val="2"/>
          <c:tx>
            <c:strRef>
              <c:f>'E4S (L x H)'!$E$3:$E$4</c:f>
              <c:strCache>
                <c:ptCount val="1"/>
                <c:pt idx="0">
                  <c:v>10-15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'E4S (L x H)'!$B$5:$B$20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H)'!$E$5:$E$20</c:f>
              <c:numCache>
                <c:formatCode>0</c:formatCode>
                <c:ptCount val="15"/>
                <c:pt idx="0">
                  <c:v>1</c:v>
                </c:pt>
                <c:pt idx="1">
                  <c:v>1.3333333333333333</c:v>
                </c:pt>
                <c:pt idx="2">
                  <c:v>1.3333333333333333</c:v>
                </c:pt>
                <c:pt idx="3">
                  <c:v>1.125</c:v>
                </c:pt>
                <c:pt idx="4">
                  <c:v>2</c:v>
                </c:pt>
                <c:pt idx="5">
                  <c:v>1.8571428571428572</c:v>
                </c:pt>
                <c:pt idx="6">
                  <c:v>1.3333333333333333</c:v>
                </c:pt>
                <c:pt idx="7">
                  <c:v>1</c:v>
                </c:pt>
                <c:pt idx="8">
                  <c:v>2.4</c:v>
                </c:pt>
                <c:pt idx="9">
                  <c:v>3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F-4DC9-8679-3D8C720FAB8B}"/>
            </c:ext>
          </c:extLst>
        </c:ser>
        <c:ser>
          <c:idx val="3"/>
          <c:order val="3"/>
          <c:tx>
            <c:strRef>
              <c:f>'E4S (L x H)'!$F$3:$F$4</c:f>
              <c:strCache>
                <c:ptCount val="1"/>
                <c:pt idx="0">
                  <c:v>15-20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'E4S (L x H)'!$B$5:$B$20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H)'!$F$5:$F$20</c:f>
              <c:numCache>
                <c:formatCode>0</c:formatCode>
                <c:ptCount val="15"/>
                <c:pt idx="1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6</c:v>
                </c:pt>
                <c:pt idx="8">
                  <c:v>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8F-4DC9-8679-3D8C720FAB8B}"/>
            </c:ext>
          </c:extLst>
        </c:ser>
        <c:ser>
          <c:idx val="4"/>
          <c:order val="4"/>
          <c:tx>
            <c:strRef>
              <c:f>'E4S (L x H)'!$G$3:$G$4</c:f>
              <c:strCache>
                <c:ptCount val="1"/>
                <c:pt idx="0">
                  <c:v>20-25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'E4S (L x H)'!$B$5:$B$20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H)'!$G$5:$G$20</c:f>
              <c:numCache>
                <c:formatCode>0</c:formatCode>
                <c:ptCount val="15"/>
                <c:pt idx="1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3.5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8F-4DC9-8679-3D8C720FAB8B}"/>
            </c:ext>
          </c:extLst>
        </c:ser>
        <c:ser>
          <c:idx val="5"/>
          <c:order val="5"/>
          <c:tx>
            <c:strRef>
              <c:f>'E4S (L x H)'!$H$3:$H$4</c:f>
              <c:strCache>
                <c:ptCount val="1"/>
                <c:pt idx="0">
                  <c:v>25-30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'E4S (L x H)'!$B$5:$B$20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H)'!$H$5:$H$20</c:f>
              <c:numCache>
                <c:formatCode>0</c:formatCode>
                <c:ptCount val="15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8F-4DC9-8679-3D8C720FAB8B}"/>
            </c:ext>
          </c:extLst>
        </c:ser>
        <c:ser>
          <c:idx val="6"/>
          <c:order val="6"/>
          <c:tx>
            <c:strRef>
              <c:f>'E4S (L x H)'!$I$3:$I$4</c:f>
              <c:strCache>
                <c:ptCount val="1"/>
                <c:pt idx="0">
                  <c:v>30-35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(L x H)'!$B$5:$B$20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H)'!$I$5:$I$20</c:f>
              <c:numCache>
                <c:formatCode>0</c:formatCode>
                <c:ptCount val="1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8F-4DC9-8679-3D8C720FAB8B}"/>
            </c:ext>
          </c:extLst>
        </c:ser>
        <c:ser>
          <c:idx val="7"/>
          <c:order val="7"/>
          <c:tx>
            <c:strRef>
              <c:f>'E4S (L x H)'!$J$3:$J$4</c:f>
              <c:strCache>
                <c:ptCount val="1"/>
                <c:pt idx="0">
                  <c:v>40-45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(L x H)'!$B$5:$B$20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H)'!$J$5:$J$20</c:f>
              <c:numCache>
                <c:formatCode>0</c:formatCode>
                <c:ptCount val="15"/>
                <c:pt idx="4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8F-4DC9-8679-3D8C720FA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0960127"/>
        <c:axId val="1850961567"/>
        <c:axId val="0"/>
      </c:bar3DChart>
      <c:catAx>
        <c:axId val="185096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0961567"/>
        <c:crosses val="autoZero"/>
        <c:auto val="1"/>
        <c:lblAlgn val="ctr"/>
        <c:lblOffset val="100"/>
        <c:noMultiLvlLbl val="0"/>
      </c:catAx>
      <c:valAx>
        <c:axId val="185096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096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[03 - registro progetti shuttle.xlsx]E4S (L x D)!Tabella pivot1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'E4S (L x D)'!$C$3:$C$4</c:f>
              <c:strCache>
                <c:ptCount val="1"/>
                <c:pt idx="0">
                  <c:v>8-17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'E4S (L x D)'!$B$5:$B$20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D)'!$C$5:$C$20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5">
                  <c:v>1</c:v>
                </c:pt>
                <c:pt idx="6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8-42C6-A70E-F32044FE233B}"/>
            </c:ext>
          </c:extLst>
        </c:ser>
        <c:ser>
          <c:idx val="1"/>
          <c:order val="1"/>
          <c:tx>
            <c:strRef>
              <c:f>'E4S (L x D)'!$D$3:$D$4</c:f>
              <c:strCache>
                <c:ptCount val="1"/>
                <c:pt idx="0">
                  <c:v>18-27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'E4S (L x D)'!$B$5:$B$20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D)'!$D$5:$D$20</c:f>
              <c:numCache>
                <c:formatCode>0</c:formatCode>
                <c:ptCount val="15"/>
                <c:pt idx="0">
                  <c:v>1</c:v>
                </c:pt>
                <c:pt idx="1">
                  <c:v>1.5</c:v>
                </c:pt>
                <c:pt idx="2">
                  <c:v>1</c:v>
                </c:pt>
                <c:pt idx="3">
                  <c:v>1</c:v>
                </c:pt>
                <c:pt idx="4">
                  <c:v>1.3333333333333333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38-42C6-A70E-F32044FE233B}"/>
            </c:ext>
          </c:extLst>
        </c:ser>
        <c:ser>
          <c:idx val="2"/>
          <c:order val="2"/>
          <c:tx>
            <c:strRef>
              <c:f>'E4S (L x D)'!$E$3:$E$4</c:f>
              <c:strCache>
                <c:ptCount val="1"/>
                <c:pt idx="0">
                  <c:v>28-37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'E4S (L x D)'!$B$5:$B$20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D)'!$E$5:$E$20</c:f>
              <c:numCache>
                <c:formatCode>0</c:formatCode>
                <c:ptCount val="15"/>
                <c:pt idx="1">
                  <c:v>1</c:v>
                </c:pt>
                <c:pt idx="2">
                  <c:v>1.75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38-42C6-A70E-F32044FE233B}"/>
            </c:ext>
          </c:extLst>
        </c:ser>
        <c:ser>
          <c:idx val="3"/>
          <c:order val="3"/>
          <c:tx>
            <c:strRef>
              <c:f>'E4S (L x D)'!$F$3:$F$4</c:f>
              <c:strCache>
                <c:ptCount val="1"/>
                <c:pt idx="0">
                  <c:v>38-47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'E4S (L x D)'!$B$5:$B$20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D)'!$F$5:$F$20</c:f>
              <c:numCache>
                <c:formatCode>0</c:formatCode>
                <c:ptCount val="15"/>
                <c:pt idx="0">
                  <c:v>1</c:v>
                </c:pt>
                <c:pt idx="3">
                  <c:v>1.5714285714285714</c:v>
                </c:pt>
                <c:pt idx="5">
                  <c:v>1.6666666666666667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38-42C6-A70E-F32044FE233B}"/>
            </c:ext>
          </c:extLst>
        </c:ser>
        <c:ser>
          <c:idx val="4"/>
          <c:order val="4"/>
          <c:tx>
            <c:strRef>
              <c:f>'E4S (L x D)'!$G$3:$G$4</c:f>
              <c:strCache>
                <c:ptCount val="1"/>
                <c:pt idx="0">
                  <c:v>48-57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'E4S (L x D)'!$B$5:$B$20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D)'!$G$5:$G$20</c:f>
              <c:numCache>
                <c:formatCode>0</c:formatCode>
                <c:ptCount val="15"/>
                <c:pt idx="1">
                  <c:v>1</c:v>
                </c:pt>
                <c:pt idx="4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238-42C6-A70E-F32044FE233B}"/>
            </c:ext>
          </c:extLst>
        </c:ser>
        <c:ser>
          <c:idx val="5"/>
          <c:order val="5"/>
          <c:tx>
            <c:strRef>
              <c:f>'E4S (L x D)'!$H$3:$H$4</c:f>
              <c:strCache>
                <c:ptCount val="1"/>
                <c:pt idx="0">
                  <c:v>58-67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'E4S (L x D)'!$B$5:$B$20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D)'!$H$5:$H$20</c:f>
              <c:numCache>
                <c:formatCode>0</c:formatCode>
                <c:ptCount val="15"/>
                <c:pt idx="1">
                  <c:v>1</c:v>
                </c:pt>
                <c:pt idx="3">
                  <c:v>4</c:v>
                </c:pt>
                <c:pt idx="8">
                  <c:v>1.5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38-42C6-A70E-F32044FE233B}"/>
            </c:ext>
          </c:extLst>
        </c:ser>
        <c:ser>
          <c:idx val="6"/>
          <c:order val="6"/>
          <c:tx>
            <c:strRef>
              <c:f>'E4S (L x D)'!$I$3:$I$4</c:f>
              <c:strCache>
                <c:ptCount val="1"/>
                <c:pt idx="0">
                  <c:v>68-77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(L x D)'!$B$5:$B$20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D)'!$I$5:$I$20</c:f>
              <c:numCache>
                <c:formatCode>0</c:formatCode>
                <c:ptCount val="15"/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238-42C6-A70E-F32044FE233B}"/>
            </c:ext>
          </c:extLst>
        </c:ser>
        <c:ser>
          <c:idx val="7"/>
          <c:order val="7"/>
          <c:tx>
            <c:strRef>
              <c:f>'E4S (L x D)'!$J$3:$J$4</c:f>
              <c:strCache>
                <c:ptCount val="1"/>
                <c:pt idx="0">
                  <c:v>78-87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(L x D)'!$B$5:$B$20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D)'!$J$5:$J$20</c:f>
              <c:numCache>
                <c:formatCode>0</c:formatCode>
                <c:ptCount val="1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238-42C6-A70E-F32044FE233B}"/>
            </c:ext>
          </c:extLst>
        </c:ser>
        <c:ser>
          <c:idx val="8"/>
          <c:order val="8"/>
          <c:tx>
            <c:strRef>
              <c:f>'E4S (L x D)'!$K$3:$K$4</c:f>
              <c:strCache>
                <c:ptCount val="1"/>
                <c:pt idx="0">
                  <c:v>88-97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(L x D)'!$B$5:$B$20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D)'!$K$5:$K$20</c:f>
              <c:numCache>
                <c:formatCode>0</c:formatCode>
                <c:ptCount val="15"/>
                <c:pt idx="2">
                  <c:v>1</c:v>
                </c:pt>
                <c:pt idx="4">
                  <c:v>2</c:v>
                </c:pt>
                <c:pt idx="5">
                  <c:v>2</c:v>
                </c:pt>
                <c:pt idx="8">
                  <c:v>4.666666666666667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238-42C6-A70E-F32044FE233B}"/>
            </c:ext>
          </c:extLst>
        </c:ser>
        <c:ser>
          <c:idx val="9"/>
          <c:order val="9"/>
          <c:tx>
            <c:strRef>
              <c:f>'E4S (L x D)'!$L$3:$L$4</c:f>
              <c:strCache>
                <c:ptCount val="1"/>
                <c:pt idx="0">
                  <c:v>98-107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(L x D)'!$B$5:$B$20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D)'!$L$5:$L$20</c:f>
              <c:numCache>
                <c:formatCode>0</c:formatCode>
                <c:ptCount val="15"/>
                <c:pt idx="5">
                  <c:v>1.5</c:v>
                </c:pt>
                <c:pt idx="6">
                  <c:v>5</c:v>
                </c:pt>
                <c:pt idx="12">
                  <c:v>3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238-42C6-A70E-F32044FE233B}"/>
            </c:ext>
          </c:extLst>
        </c:ser>
        <c:ser>
          <c:idx val="10"/>
          <c:order val="10"/>
          <c:tx>
            <c:strRef>
              <c:f>'E4S (L x D)'!$M$3:$M$4</c:f>
              <c:strCache>
                <c:ptCount val="1"/>
                <c:pt idx="0">
                  <c:v>128-137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(L x D)'!$B$5:$B$20</c:f>
              <c:strCache>
                <c:ptCount val="15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180-189</c:v>
                </c:pt>
                <c:pt idx="14">
                  <c:v>240-249</c:v>
                </c:pt>
              </c:strCache>
            </c:strRef>
          </c:cat>
          <c:val>
            <c:numRef>
              <c:f>'E4S (L x D)'!$M$5:$M$20</c:f>
              <c:numCache>
                <c:formatCode>0</c:formatCode>
                <c:ptCount val="15"/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238-42C6-A70E-F32044FE2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0960127"/>
        <c:axId val="1850961567"/>
        <c:axId val="0"/>
      </c:bar3DChart>
      <c:catAx>
        <c:axId val="185096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0961567"/>
        <c:crosses val="autoZero"/>
        <c:auto val="1"/>
        <c:lblAlgn val="ctr"/>
        <c:lblOffset val="100"/>
        <c:noMultiLvlLbl val="0"/>
      </c:catAx>
      <c:valAx>
        <c:axId val="185096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096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[03 - registro progetti shuttle.xlsx]E4S (V x PPH)!Tabella pivot1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'E4S (V x PPH)'!$C$3:$C$4</c:f>
              <c:strCache>
                <c:ptCount val="1"/>
                <c:pt idx="0">
                  <c:v>0-24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PPH)'!$C$5:$C$19</c:f>
              <c:numCache>
                <c:formatCode>0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5-4297-B7E0-44FB9DA017FB}"/>
            </c:ext>
          </c:extLst>
        </c:ser>
        <c:ser>
          <c:idx val="1"/>
          <c:order val="1"/>
          <c:tx>
            <c:strRef>
              <c:f>'E4S (V x PPH)'!$D$3:$D$4</c:f>
              <c:strCache>
                <c:ptCount val="1"/>
                <c:pt idx="0">
                  <c:v>25-49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PPH)'!$D$5:$D$19</c:f>
              <c:numCache>
                <c:formatCode>0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465-4297-B7E0-44FB9DA017FB}"/>
            </c:ext>
          </c:extLst>
        </c:ser>
        <c:ser>
          <c:idx val="2"/>
          <c:order val="2"/>
          <c:tx>
            <c:strRef>
              <c:f>'E4S (V x PPH)'!$E$3:$E$4</c:f>
              <c:strCache>
                <c:ptCount val="1"/>
                <c:pt idx="0">
                  <c:v>50-74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PPH)'!$E$5:$E$19</c:f>
              <c:numCache>
                <c:formatCode>0</c:formatCode>
                <c:ptCount val="14"/>
                <c:pt idx="0">
                  <c:v>1.4</c:v>
                </c:pt>
                <c:pt idx="1">
                  <c:v>1</c:v>
                </c:pt>
                <c:pt idx="2">
                  <c:v>1</c:v>
                </c:pt>
                <c:pt idx="6">
                  <c:v>1.5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465-4297-B7E0-44FB9DA017FB}"/>
            </c:ext>
          </c:extLst>
        </c:ser>
        <c:ser>
          <c:idx val="3"/>
          <c:order val="3"/>
          <c:tx>
            <c:strRef>
              <c:f>'E4S (V x PPH)'!$F$3:$F$4</c:f>
              <c:strCache>
                <c:ptCount val="1"/>
                <c:pt idx="0">
                  <c:v>75-99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PPH)'!$F$5:$F$19</c:f>
              <c:numCache>
                <c:formatCode>0</c:formatCode>
                <c:ptCount val="14"/>
                <c:pt idx="0">
                  <c:v>1.6666666666666667</c:v>
                </c:pt>
                <c:pt idx="1">
                  <c:v>2</c:v>
                </c:pt>
                <c:pt idx="2">
                  <c:v>1.3333333333333333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465-4297-B7E0-44FB9DA017FB}"/>
            </c:ext>
          </c:extLst>
        </c:ser>
        <c:ser>
          <c:idx val="4"/>
          <c:order val="4"/>
          <c:tx>
            <c:strRef>
              <c:f>'E4S (V x PPH)'!$G$3:$G$4</c:f>
              <c:strCache>
                <c:ptCount val="1"/>
                <c:pt idx="0">
                  <c:v>100-124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PPH)'!$G$5:$G$19</c:f>
              <c:numCache>
                <c:formatCode>0</c:formatCode>
                <c:ptCount val="14"/>
                <c:pt idx="0">
                  <c:v>1.3333333333333333</c:v>
                </c:pt>
                <c:pt idx="1">
                  <c:v>1.5</c:v>
                </c:pt>
                <c:pt idx="2">
                  <c:v>1.6666666666666667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465-4297-B7E0-44FB9DA017FB}"/>
            </c:ext>
          </c:extLst>
        </c:ser>
        <c:ser>
          <c:idx val="5"/>
          <c:order val="5"/>
          <c:tx>
            <c:strRef>
              <c:f>'E4S (V x PPH)'!$H$3:$H$4</c:f>
              <c:strCache>
                <c:ptCount val="1"/>
                <c:pt idx="0">
                  <c:v>125-149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PPH)'!$H$5:$H$19</c:f>
              <c:numCache>
                <c:formatCode>0</c:formatCode>
                <c:ptCount val="14"/>
                <c:pt idx="0">
                  <c:v>1</c:v>
                </c:pt>
                <c:pt idx="1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465-4297-B7E0-44FB9DA017FB}"/>
            </c:ext>
          </c:extLst>
        </c:ser>
        <c:ser>
          <c:idx val="6"/>
          <c:order val="6"/>
          <c:tx>
            <c:strRef>
              <c:f>'E4S (V x PPH)'!$I$3:$I$4</c:f>
              <c:strCache>
                <c:ptCount val="1"/>
                <c:pt idx="0">
                  <c:v>150-174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PPH)'!$I$5:$I$19</c:f>
              <c:numCache>
                <c:formatCode>0</c:formatCode>
                <c:ptCount val="14"/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465-4297-B7E0-44FB9DA017FB}"/>
            </c:ext>
          </c:extLst>
        </c:ser>
        <c:ser>
          <c:idx val="7"/>
          <c:order val="7"/>
          <c:tx>
            <c:strRef>
              <c:f>'E4S (V x PPH)'!$J$3:$J$4</c:f>
              <c:strCache>
                <c:ptCount val="1"/>
                <c:pt idx="0">
                  <c:v>175-199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PPH)'!$J$5:$J$19</c:f>
              <c:numCache>
                <c:formatCode>0</c:formatCode>
                <c:ptCount val="14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465-4297-B7E0-44FB9DA017FB}"/>
            </c:ext>
          </c:extLst>
        </c:ser>
        <c:ser>
          <c:idx val="8"/>
          <c:order val="8"/>
          <c:tx>
            <c:strRef>
              <c:f>'E4S (V x PPH)'!$K$3:$K$4</c:f>
              <c:strCache>
                <c:ptCount val="1"/>
                <c:pt idx="0">
                  <c:v>200-224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PPH)'!$K$5:$K$19</c:f>
              <c:numCache>
                <c:formatCode>0</c:formatCode>
                <c:ptCount val="14"/>
                <c:pt idx="4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465-4297-B7E0-44FB9DA017FB}"/>
            </c:ext>
          </c:extLst>
        </c:ser>
        <c:ser>
          <c:idx val="9"/>
          <c:order val="9"/>
          <c:tx>
            <c:strRef>
              <c:f>'E4S (V x PPH)'!$L$3:$L$4</c:f>
              <c:strCache>
                <c:ptCount val="1"/>
                <c:pt idx="0">
                  <c:v>225-249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PPH)'!$L$5:$L$19</c:f>
              <c:numCache>
                <c:formatCode>0</c:formatCode>
                <c:ptCount val="14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465-4297-B7E0-44FB9DA017FB}"/>
            </c:ext>
          </c:extLst>
        </c:ser>
        <c:ser>
          <c:idx val="10"/>
          <c:order val="10"/>
          <c:tx>
            <c:strRef>
              <c:f>'E4S (V x PPH)'!$M$3:$M$4</c:f>
              <c:strCache>
                <c:ptCount val="1"/>
                <c:pt idx="0">
                  <c:v>250-274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PPH)'!$M$5:$M$19</c:f>
              <c:numCache>
                <c:formatCode>0</c:formatCode>
                <c:ptCount val="14"/>
                <c:pt idx="3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465-4297-B7E0-44FB9DA017FB}"/>
            </c:ext>
          </c:extLst>
        </c:ser>
        <c:ser>
          <c:idx val="11"/>
          <c:order val="11"/>
          <c:tx>
            <c:strRef>
              <c:f>'E4S (V x PPH)'!$N$3:$N$4</c:f>
              <c:strCache>
                <c:ptCount val="1"/>
                <c:pt idx="0">
                  <c:v>275-299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PPH)'!$N$5:$N$19</c:f>
              <c:numCache>
                <c:formatCode>0</c:formatCode>
                <c:ptCount val="14"/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465-4297-B7E0-44FB9DA017FB}"/>
            </c:ext>
          </c:extLst>
        </c:ser>
        <c:ser>
          <c:idx val="12"/>
          <c:order val="12"/>
          <c:tx>
            <c:strRef>
              <c:f>'E4S (V x PPH)'!$O$3:$O$4</c:f>
              <c:strCache>
                <c:ptCount val="1"/>
                <c:pt idx="0">
                  <c:v>300-324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PPH)'!$O$5:$O$19</c:f>
              <c:numCache>
                <c:formatCode>0</c:formatCode>
                <c:ptCount val="14"/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465-4297-B7E0-44FB9DA017FB}"/>
            </c:ext>
          </c:extLst>
        </c:ser>
        <c:ser>
          <c:idx val="13"/>
          <c:order val="13"/>
          <c:tx>
            <c:strRef>
              <c:f>'E4S (V x PPH)'!$P$3:$P$4</c:f>
              <c:strCache>
                <c:ptCount val="1"/>
                <c:pt idx="0">
                  <c:v>450-474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PPH)'!$P$5:$P$19</c:f>
              <c:numCache>
                <c:formatCode>0</c:formatCode>
                <c:ptCount val="14"/>
                <c:pt idx="4">
                  <c:v>5.333333333333333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465-4297-B7E0-44FB9DA017FB}"/>
            </c:ext>
          </c:extLst>
        </c:ser>
        <c:ser>
          <c:idx val="14"/>
          <c:order val="14"/>
          <c:tx>
            <c:strRef>
              <c:f>'E4S (V x PPH)'!$Q$3:$Q$4</c:f>
              <c:strCache>
                <c:ptCount val="1"/>
                <c:pt idx="0">
                  <c:v>475-499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PPH)'!$Q$5:$Q$19</c:f>
              <c:numCache>
                <c:formatCode>0</c:formatCode>
                <c:ptCount val="14"/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465-4297-B7E0-44FB9DA017FB}"/>
            </c:ext>
          </c:extLst>
        </c:ser>
        <c:ser>
          <c:idx val="15"/>
          <c:order val="15"/>
          <c:tx>
            <c:strRef>
              <c:f>'E4S (V x PPH)'!$R$3:$R$4</c:f>
              <c:strCache>
                <c:ptCount val="1"/>
                <c:pt idx="0">
                  <c:v>500-524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PPH)'!$R$5:$R$19</c:f>
              <c:numCache>
                <c:formatCode>0</c:formatCode>
                <c:ptCount val="14"/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465-4297-B7E0-44FB9DA017FB}"/>
            </c:ext>
          </c:extLst>
        </c:ser>
        <c:ser>
          <c:idx val="16"/>
          <c:order val="16"/>
          <c:tx>
            <c:strRef>
              <c:f>'E4S (V x PPH)'!$S$3:$S$4</c:f>
              <c:strCache>
                <c:ptCount val="1"/>
                <c:pt idx="0">
                  <c:v>700-724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(V x PPH)'!$B$5:$B$19</c:f>
              <c:strCache>
                <c:ptCount val="14"/>
                <c:pt idx="0">
                  <c:v>0-15000</c:v>
                </c:pt>
                <c:pt idx="1">
                  <c:v>15000-30000</c:v>
                </c:pt>
                <c:pt idx="2">
                  <c:v>30000-45000</c:v>
                </c:pt>
                <c:pt idx="3">
                  <c:v>45000-60000</c:v>
                </c:pt>
                <c:pt idx="4">
                  <c:v>60000-75000</c:v>
                </c:pt>
                <c:pt idx="5">
                  <c:v>75000-90000</c:v>
                </c:pt>
                <c:pt idx="6">
                  <c:v>90000-105000</c:v>
                </c:pt>
                <c:pt idx="7">
                  <c:v>105000-120000</c:v>
                </c:pt>
                <c:pt idx="8">
                  <c:v>135000-150000</c:v>
                </c:pt>
                <c:pt idx="9">
                  <c:v>180000-195000</c:v>
                </c:pt>
                <c:pt idx="10">
                  <c:v>210000-225000</c:v>
                </c:pt>
                <c:pt idx="11">
                  <c:v>255000-270000</c:v>
                </c:pt>
                <c:pt idx="12">
                  <c:v>285000-300000</c:v>
                </c:pt>
                <c:pt idx="13">
                  <c:v>375000-390000</c:v>
                </c:pt>
              </c:strCache>
            </c:strRef>
          </c:cat>
          <c:val>
            <c:numRef>
              <c:f>'E4S (V x PPH)'!$S$5:$S$19</c:f>
              <c:numCache>
                <c:formatCode>0</c:formatCode>
                <c:ptCount val="14"/>
                <c:pt idx="9">
                  <c:v>5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465-4297-B7E0-44FB9DA01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0960127"/>
        <c:axId val="1850961567"/>
        <c:axId val="0"/>
      </c:bar3DChart>
      <c:catAx>
        <c:axId val="185096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0961567"/>
        <c:crosses val="autoZero"/>
        <c:auto val="1"/>
        <c:lblAlgn val="ctr"/>
        <c:lblOffset val="100"/>
        <c:noMultiLvlLbl val="0"/>
      </c:catAx>
      <c:valAx>
        <c:axId val="185096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096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[03 - registro progetti shuttle.xlsx]E4S (pp x PPH)!Tabella pivot1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'E4S (pp x PPH)'!$C$3:$C$4</c:f>
              <c:strCache>
                <c:ptCount val="1"/>
                <c:pt idx="0">
                  <c:v>0-24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PPH)'!$C$5:$C$21</c:f>
              <c:numCache>
                <c:formatCode>0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1-481F-AF0D-A7DA115DE68A}"/>
            </c:ext>
          </c:extLst>
        </c:ser>
        <c:ser>
          <c:idx val="1"/>
          <c:order val="1"/>
          <c:tx>
            <c:strRef>
              <c:f>'E4S (pp x PPH)'!$D$3:$D$4</c:f>
              <c:strCache>
                <c:ptCount val="1"/>
                <c:pt idx="0">
                  <c:v>25-49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PPH)'!$D$5:$D$21</c:f>
              <c:numCache>
                <c:formatCode>0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5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1-481F-AF0D-A7DA115DE68A}"/>
            </c:ext>
          </c:extLst>
        </c:ser>
        <c:ser>
          <c:idx val="2"/>
          <c:order val="2"/>
          <c:tx>
            <c:strRef>
              <c:f>'E4S (pp x PPH)'!$E$3:$E$4</c:f>
              <c:strCache>
                <c:ptCount val="1"/>
                <c:pt idx="0">
                  <c:v>50-74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PPH)'!$E$5:$E$21</c:f>
              <c:numCache>
                <c:formatCode>0</c:formatCode>
                <c:ptCount val="1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9">
                  <c:v>1</c:v>
                </c:pt>
                <c:pt idx="10">
                  <c:v>1.5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1-481F-AF0D-A7DA115DE68A}"/>
            </c:ext>
          </c:extLst>
        </c:ser>
        <c:ser>
          <c:idx val="3"/>
          <c:order val="3"/>
          <c:tx>
            <c:strRef>
              <c:f>'E4S (pp x PPH)'!$F$3:$F$4</c:f>
              <c:strCache>
                <c:ptCount val="1"/>
                <c:pt idx="0">
                  <c:v>75-99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PPH)'!$F$5:$F$21</c:f>
              <c:numCache>
                <c:formatCode>0</c:formatCode>
                <c:ptCount val="16"/>
                <c:pt idx="0">
                  <c:v>2</c:v>
                </c:pt>
                <c:pt idx="1">
                  <c:v>1.7142857142857142</c:v>
                </c:pt>
                <c:pt idx="3">
                  <c:v>1</c:v>
                </c:pt>
                <c:pt idx="4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C1-481F-AF0D-A7DA115DE68A}"/>
            </c:ext>
          </c:extLst>
        </c:ser>
        <c:ser>
          <c:idx val="4"/>
          <c:order val="4"/>
          <c:tx>
            <c:strRef>
              <c:f>'E4S (pp x PPH)'!$G$3:$G$4</c:f>
              <c:strCache>
                <c:ptCount val="1"/>
                <c:pt idx="0">
                  <c:v>100-124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PPH)'!$G$5:$G$21</c:f>
              <c:numCache>
                <c:formatCode>0</c:formatCode>
                <c:ptCount val="16"/>
                <c:pt idx="1">
                  <c:v>1.5</c:v>
                </c:pt>
                <c:pt idx="2">
                  <c:v>1.6666666666666667</c:v>
                </c:pt>
                <c:pt idx="5">
                  <c:v>1.75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1-481F-AF0D-A7DA115DE68A}"/>
            </c:ext>
          </c:extLst>
        </c:ser>
        <c:ser>
          <c:idx val="5"/>
          <c:order val="5"/>
          <c:tx>
            <c:strRef>
              <c:f>'E4S (pp x PPH)'!$H$3:$H$4</c:f>
              <c:strCache>
                <c:ptCount val="1"/>
                <c:pt idx="0">
                  <c:v>125-149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PPH)'!$H$5:$H$21</c:f>
              <c:numCache>
                <c:formatCode>0</c:formatCode>
                <c:ptCount val="16"/>
                <c:pt idx="1">
                  <c:v>1</c:v>
                </c:pt>
                <c:pt idx="2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C1-481F-AF0D-A7DA115DE68A}"/>
            </c:ext>
          </c:extLst>
        </c:ser>
        <c:ser>
          <c:idx val="6"/>
          <c:order val="6"/>
          <c:tx>
            <c:strRef>
              <c:f>'E4S (pp x PPH)'!$I$3:$I$4</c:f>
              <c:strCache>
                <c:ptCount val="1"/>
                <c:pt idx="0">
                  <c:v>150-174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PPH)'!$I$5:$I$21</c:f>
              <c:numCache>
                <c:formatCode>0</c:formatCode>
                <c:ptCount val="16"/>
                <c:pt idx="1">
                  <c:v>3</c:v>
                </c:pt>
                <c:pt idx="2">
                  <c:v>4</c:v>
                </c:pt>
                <c:pt idx="8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C1-481F-AF0D-A7DA115DE68A}"/>
            </c:ext>
          </c:extLst>
        </c:ser>
        <c:ser>
          <c:idx val="7"/>
          <c:order val="7"/>
          <c:tx>
            <c:strRef>
              <c:f>'E4S (pp x PPH)'!$J$3:$J$4</c:f>
              <c:strCache>
                <c:ptCount val="1"/>
                <c:pt idx="0">
                  <c:v>175-199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PPH)'!$J$5:$J$21</c:f>
              <c:numCache>
                <c:formatCode>0</c:formatCode>
                <c:ptCount val="16"/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C1-481F-AF0D-A7DA115DE68A}"/>
            </c:ext>
          </c:extLst>
        </c:ser>
        <c:ser>
          <c:idx val="8"/>
          <c:order val="8"/>
          <c:tx>
            <c:strRef>
              <c:f>'E4S (pp x PPH)'!$K$3:$K$4</c:f>
              <c:strCache>
                <c:ptCount val="1"/>
                <c:pt idx="0">
                  <c:v>200-224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PPH)'!$K$5:$K$21</c:f>
              <c:numCache>
                <c:formatCode>0</c:formatCode>
                <c:ptCount val="16"/>
                <c:pt idx="5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C1-481F-AF0D-A7DA115DE68A}"/>
            </c:ext>
          </c:extLst>
        </c:ser>
        <c:ser>
          <c:idx val="9"/>
          <c:order val="9"/>
          <c:tx>
            <c:strRef>
              <c:f>'E4S (pp x PPH)'!$L$3:$L$4</c:f>
              <c:strCache>
                <c:ptCount val="1"/>
                <c:pt idx="0">
                  <c:v>225-249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PPH)'!$L$5:$L$21</c:f>
              <c:numCache>
                <c:formatCode>0</c:formatCode>
                <c:ptCount val="16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C1-481F-AF0D-A7DA115DE68A}"/>
            </c:ext>
          </c:extLst>
        </c:ser>
        <c:ser>
          <c:idx val="10"/>
          <c:order val="10"/>
          <c:tx>
            <c:strRef>
              <c:f>'E4S (pp x PPH)'!$M$3:$M$4</c:f>
              <c:strCache>
                <c:ptCount val="1"/>
                <c:pt idx="0">
                  <c:v>250-274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PPH)'!$M$5:$M$21</c:f>
              <c:numCache>
                <c:formatCode>0</c:formatCode>
                <c:ptCount val="16"/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C1-481F-AF0D-A7DA115DE68A}"/>
            </c:ext>
          </c:extLst>
        </c:ser>
        <c:ser>
          <c:idx val="11"/>
          <c:order val="11"/>
          <c:tx>
            <c:strRef>
              <c:f>'E4S (pp x PPH)'!$N$3:$N$4</c:f>
              <c:strCache>
                <c:ptCount val="1"/>
                <c:pt idx="0">
                  <c:v>275-299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PPH)'!$N$5:$N$21</c:f>
              <c:numCache>
                <c:formatCode>0</c:formatCode>
                <c:ptCount val="16"/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C1-481F-AF0D-A7DA115DE68A}"/>
            </c:ext>
          </c:extLst>
        </c:ser>
        <c:ser>
          <c:idx val="12"/>
          <c:order val="12"/>
          <c:tx>
            <c:strRef>
              <c:f>'E4S (pp x PPH)'!$O$3:$O$4</c:f>
              <c:strCache>
                <c:ptCount val="1"/>
                <c:pt idx="0">
                  <c:v>300-324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PPH)'!$O$5:$O$21</c:f>
              <c:numCache>
                <c:formatCode>0</c:formatCode>
                <c:ptCount val="16"/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FC1-481F-AF0D-A7DA115DE68A}"/>
            </c:ext>
          </c:extLst>
        </c:ser>
        <c:ser>
          <c:idx val="13"/>
          <c:order val="13"/>
          <c:tx>
            <c:strRef>
              <c:f>'E4S (pp x PPH)'!$P$3:$P$4</c:f>
              <c:strCache>
                <c:ptCount val="1"/>
                <c:pt idx="0">
                  <c:v>450-474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PPH)'!$P$5:$P$21</c:f>
              <c:numCache>
                <c:formatCode>0</c:formatCode>
                <c:ptCount val="16"/>
                <c:pt idx="3">
                  <c:v>5.333333333333333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FC1-481F-AF0D-A7DA115DE68A}"/>
            </c:ext>
          </c:extLst>
        </c:ser>
        <c:ser>
          <c:idx val="14"/>
          <c:order val="14"/>
          <c:tx>
            <c:strRef>
              <c:f>'E4S (pp x PPH)'!$Q$3:$Q$4</c:f>
              <c:strCache>
                <c:ptCount val="1"/>
                <c:pt idx="0">
                  <c:v>475-499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PPH)'!$Q$5:$Q$21</c:f>
              <c:numCache>
                <c:formatCode>0</c:formatCode>
                <c:ptCount val="16"/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C1-481F-AF0D-A7DA115DE68A}"/>
            </c:ext>
          </c:extLst>
        </c:ser>
        <c:ser>
          <c:idx val="15"/>
          <c:order val="15"/>
          <c:tx>
            <c:strRef>
              <c:f>'E4S (pp x PPH)'!$R$3:$R$4</c:f>
              <c:strCache>
                <c:ptCount val="1"/>
                <c:pt idx="0">
                  <c:v>500-524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PPH)'!$R$5:$R$21</c:f>
              <c:numCache>
                <c:formatCode>0</c:formatCode>
                <c:ptCount val="16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FC1-481F-AF0D-A7DA115DE68A}"/>
            </c:ext>
          </c:extLst>
        </c:ser>
        <c:ser>
          <c:idx val="16"/>
          <c:order val="16"/>
          <c:tx>
            <c:strRef>
              <c:f>'E4S (pp x PPH)'!$S$3:$S$4</c:f>
              <c:strCache>
                <c:ptCount val="1"/>
                <c:pt idx="0">
                  <c:v>700-724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'E4S (pp x PPH)'!$B$5:$B$21</c:f>
              <c:strCache>
                <c:ptCount val="16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18000-19999</c:v>
                </c:pt>
                <c:pt idx="9">
                  <c:v>20000-21999</c:v>
                </c:pt>
                <c:pt idx="10">
                  <c:v>24000-25999</c:v>
                </c:pt>
                <c:pt idx="11">
                  <c:v>26000-27999</c:v>
                </c:pt>
                <c:pt idx="12">
                  <c:v>38000-39999</c:v>
                </c:pt>
                <c:pt idx="13">
                  <c:v>42000-43999</c:v>
                </c:pt>
                <c:pt idx="14">
                  <c:v>50000-51999</c:v>
                </c:pt>
                <c:pt idx="15">
                  <c:v>78000-79999</c:v>
                </c:pt>
              </c:strCache>
            </c:strRef>
          </c:cat>
          <c:val>
            <c:numRef>
              <c:f>'E4S (pp x PPH)'!$S$5:$S$21</c:f>
              <c:numCache>
                <c:formatCode>0</c:formatCode>
                <c:ptCount val="16"/>
                <c:pt idx="12">
                  <c:v>5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C1-481F-AF0D-A7DA115DE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0960127"/>
        <c:axId val="1850961567"/>
        <c:axId val="0"/>
      </c:bar3DChart>
      <c:catAx>
        <c:axId val="185096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0961567"/>
        <c:crosses val="autoZero"/>
        <c:auto val="1"/>
        <c:lblAlgn val="ctr"/>
        <c:lblOffset val="100"/>
        <c:noMultiLvlLbl val="0"/>
      </c:catAx>
      <c:valAx>
        <c:axId val="185096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096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[03 - registro progetti shuttle.xlsx]Report of E4S!Tabella pivot2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'Report of E4S'!$B$3:$B$4</c:f>
              <c:strCache>
                <c:ptCount val="1"/>
                <c:pt idx="0">
                  <c:v>0-19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E4S'!$B$5:$B$33</c:f>
              <c:numCache>
                <c:formatCode>0</c:formatCode>
                <c:ptCount val="28"/>
                <c:pt idx="0">
                  <c:v>2</c:v>
                </c:pt>
                <c:pt idx="3">
                  <c:v>1</c:v>
                </c:pt>
                <c:pt idx="4">
                  <c:v>4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D-43AD-A945-E26D564AAEB9}"/>
            </c:ext>
          </c:extLst>
        </c:ser>
        <c:ser>
          <c:idx val="1"/>
          <c:order val="1"/>
          <c:tx>
            <c:strRef>
              <c:f>'Report of E4S'!$C$3:$C$4</c:f>
              <c:strCache>
                <c:ptCount val="1"/>
                <c:pt idx="0">
                  <c:v>20-39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E4S'!$C$5:$C$33</c:f>
              <c:numCache>
                <c:formatCode>0</c:formatCode>
                <c:ptCount val="28"/>
                <c:pt idx="0">
                  <c:v>4</c:v>
                </c:pt>
                <c:pt idx="1">
                  <c:v>4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B8-3E7D-43AD-A945-E26D564AAEB9}"/>
            </c:ext>
          </c:extLst>
        </c:ser>
        <c:ser>
          <c:idx val="2"/>
          <c:order val="2"/>
          <c:tx>
            <c:strRef>
              <c:f>'Report of E4S'!$D$3:$D$4</c:f>
              <c:strCache>
                <c:ptCount val="1"/>
                <c:pt idx="0">
                  <c:v>40-59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E4S'!$D$5:$D$33</c:f>
              <c:numCache>
                <c:formatCode>0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4.333333333333333</c:v>
                </c:pt>
                <c:pt idx="3">
                  <c:v>3</c:v>
                </c:pt>
                <c:pt idx="7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B9-3E7D-43AD-A945-E26D564AAEB9}"/>
            </c:ext>
          </c:extLst>
        </c:ser>
        <c:ser>
          <c:idx val="3"/>
          <c:order val="3"/>
          <c:tx>
            <c:strRef>
              <c:f>'Report of E4S'!$E$3:$E$4</c:f>
              <c:strCache>
                <c:ptCount val="1"/>
                <c:pt idx="0">
                  <c:v>60-79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E4S'!$E$5:$E$33</c:f>
              <c:numCache>
                <c:formatCode>0</c:formatCode>
                <c:ptCount val="28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5">
                  <c:v>5</c:v>
                </c:pt>
                <c:pt idx="7">
                  <c:v>5</c:v>
                </c:pt>
                <c:pt idx="8">
                  <c:v>6</c:v>
                </c:pt>
                <c:pt idx="13">
                  <c:v>5</c:v>
                </c:pt>
                <c:pt idx="16">
                  <c:v>6</c:v>
                </c:pt>
                <c:pt idx="17">
                  <c:v>8</c:v>
                </c:pt>
                <c:pt idx="2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BA-3E7D-43AD-A945-E26D564AAEB9}"/>
            </c:ext>
          </c:extLst>
        </c:ser>
        <c:ser>
          <c:idx val="4"/>
          <c:order val="4"/>
          <c:tx>
            <c:strRef>
              <c:f>'Report of E4S'!$F$3:$F$4</c:f>
              <c:strCache>
                <c:ptCount val="1"/>
                <c:pt idx="0">
                  <c:v>80-99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E4S'!$F$5:$F$33</c:f>
              <c:numCache>
                <c:formatCode>0</c:formatCode>
                <c:ptCount val="28"/>
                <c:pt idx="2">
                  <c:v>5.6</c:v>
                </c:pt>
                <c:pt idx="3">
                  <c:v>4.5</c:v>
                </c:pt>
                <c:pt idx="6">
                  <c:v>7</c:v>
                </c:pt>
                <c:pt idx="1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BB-3E7D-43AD-A945-E26D564AAEB9}"/>
            </c:ext>
          </c:extLst>
        </c:ser>
        <c:ser>
          <c:idx val="5"/>
          <c:order val="5"/>
          <c:tx>
            <c:strRef>
              <c:f>'Report of E4S'!$G$3:$G$4</c:f>
              <c:strCache>
                <c:ptCount val="1"/>
                <c:pt idx="0">
                  <c:v>100-119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E4S'!$G$5:$G$33</c:f>
              <c:numCache>
                <c:formatCode>0</c:formatCode>
                <c:ptCount val="28"/>
                <c:pt idx="2">
                  <c:v>6</c:v>
                </c:pt>
                <c:pt idx="3">
                  <c:v>6.333333333333333</c:v>
                </c:pt>
                <c:pt idx="4">
                  <c:v>8</c:v>
                </c:pt>
                <c:pt idx="5">
                  <c:v>7.666666666666667</c:v>
                </c:pt>
                <c:pt idx="6">
                  <c:v>7</c:v>
                </c:pt>
                <c:pt idx="9">
                  <c:v>12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BC-3E7D-43AD-A945-E26D564AAEB9}"/>
            </c:ext>
          </c:extLst>
        </c:ser>
        <c:ser>
          <c:idx val="6"/>
          <c:order val="6"/>
          <c:tx>
            <c:strRef>
              <c:f>'Report of E4S'!$H$3:$H$4</c:f>
              <c:strCache>
                <c:ptCount val="1"/>
                <c:pt idx="0">
                  <c:v>120-139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E4S'!$H$5:$H$33</c:f>
              <c:numCache>
                <c:formatCode>0</c:formatCode>
                <c:ptCount val="28"/>
                <c:pt idx="2">
                  <c:v>6.666666666666667</c:v>
                </c:pt>
                <c:pt idx="3">
                  <c:v>8.3333333333333339</c:v>
                </c:pt>
                <c:pt idx="7">
                  <c:v>8</c:v>
                </c:pt>
                <c:pt idx="1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BD-3E7D-43AD-A945-E26D564AAEB9}"/>
            </c:ext>
          </c:extLst>
        </c:ser>
        <c:ser>
          <c:idx val="7"/>
          <c:order val="7"/>
          <c:tx>
            <c:strRef>
              <c:f>'Report of E4S'!$I$3:$I$4</c:f>
              <c:strCache>
                <c:ptCount val="1"/>
                <c:pt idx="0">
                  <c:v>140-159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E4S'!$I$5:$I$33</c:f>
              <c:numCache>
                <c:formatCode>0</c:formatCode>
                <c:ptCount val="28"/>
                <c:pt idx="5">
                  <c:v>9</c:v>
                </c:pt>
                <c:pt idx="7">
                  <c:v>18</c:v>
                </c:pt>
                <c:pt idx="10">
                  <c:v>12</c:v>
                </c:pt>
                <c:pt idx="13">
                  <c:v>9</c:v>
                </c:pt>
                <c:pt idx="14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BE-3E7D-43AD-A945-E26D564AAEB9}"/>
            </c:ext>
          </c:extLst>
        </c:ser>
        <c:ser>
          <c:idx val="8"/>
          <c:order val="8"/>
          <c:tx>
            <c:strRef>
              <c:f>'Report of E4S'!$J$3:$J$4</c:f>
              <c:strCache>
                <c:ptCount val="1"/>
                <c:pt idx="0">
                  <c:v>160-179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E4S'!$J$5:$J$33</c:f>
              <c:numCache>
                <c:formatCode>0</c:formatCode>
                <c:ptCount val="28"/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BF-3E7D-43AD-A945-E26D564AAEB9}"/>
            </c:ext>
          </c:extLst>
        </c:ser>
        <c:ser>
          <c:idx val="9"/>
          <c:order val="9"/>
          <c:tx>
            <c:strRef>
              <c:f>'Report of E4S'!$K$3:$K$4</c:f>
              <c:strCache>
                <c:ptCount val="1"/>
                <c:pt idx="0">
                  <c:v>180-199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E4S'!$K$5:$K$33</c:f>
              <c:numCache>
                <c:formatCode>0</c:formatCode>
                <c:ptCount val="28"/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C0-3E7D-43AD-A945-E26D564AAEB9}"/>
            </c:ext>
          </c:extLst>
        </c:ser>
        <c:ser>
          <c:idx val="10"/>
          <c:order val="10"/>
          <c:tx>
            <c:strRef>
              <c:f>'Report of E4S'!$L$3:$L$4</c:f>
              <c:strCache>
                <c:ptCount val="1"/>
                <c:pt idx="0">
                  <c:v>200-219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E4S'!$L$5:$L$33</c:f>
              <c:numCache>
                <c:formatCode>0</c:formatCode>
                <c:ptCount val="28"/>
                <c:pt idx="18">
                  <c:v>14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C1-3E7D-43AD-A945-E26D564AAEB9}"/>
            </c:ext>
          </c:extLst>
        </c:ser>
        <c:ser>
          <c:idx val="11"/>
          <c:order val="11"/>
          <c:tx>
            <c:strRef>
              <c:f>'Report of E4S'!$M$3:$M$4</c:f>
              <c:strCache>
                <c:ptCount val="1"/>
                <c:pt idx="0">
                  <c:v>220-239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E4S'!$M$5:$M$33</c:f>
              <c:numCache>
                <c:formatCode>0</c:formatCode>
                <c:ptCount val="28"/>
                <c:pt idx="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C2-3E7D-43AD-A945-E26D564AAEB9}"/>
            </c:ext>
          </c:extLst>
        </c:ser>
        <c:ser>
          <c:idx val="12"/>
          <c:order val="12"/>
          <c:tx>
            <c:strRef>
              <c:f>'Report of E4S'!$N$3:$N$4</c:f>
              <c:strCache>
                <c:ptCount val="1"/>
                <c:pt idx="0">
                  <c:v>260-279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E4S'!$N$5:$N$33</c:f>
              <c:numCache>
                <c:formatCode>0</c:formatCode>
                <c:ptCount val="28"/>
                <c:pt idx="10">
                  <c:v>15</c:v>
                </c:pt>
                <c:pt idx="1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C3-3E7D-43AD-A945-E26D564AAEB9}"/>
            </c:ext>
          </c:extLst>
        </c:ser>
        <c:ser>
          <c:idx val="13"/>
          <c:order val="13"/>
          <c:tx>
            <c:strRef>
              <c:f>'Report of E4S'!$O$3:$O$4</c:f>
              <c:strCache>
                <c:ptCount val="1"/>
                <c:pt idx="0">
                  <c:v>280-299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E4S'!$O$5:$O$33</c:f>
              <c:numCache>
                <c:formatCode>0</c:formatCode>
                <c:ptCount val="28"/>
                <c:pt idx="2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C4-3E7D-43AD-A945-E26D564AAEB9}"/>
            </c:ext>
          </c:extLst>
        </c:ser>
        <c:ser>
          <c:idx val="14"/>
          <c:order val="14"/>
          <c:tx>
            <c:strRef>
              <c:f>'Report of E4S'!$P$3:$P$4</c:f>
              <c:strCache>
                <c:ptCount val="1"/>
                <c:pt idx="0">
                  <c:v>300-319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E4S'!$P$5:$P$33</c:f>
              <c:numCache>
                <c:formatCode>0</c:formatCode>
                <c:ptCount val="28"/>
                <c:pt idx="2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C5-3E7D-43AD-A945-E26D564AAEB9}"/>
            </c:ext>
          </c:extLst>
        </c:ser>
        <c:ser>
          <c:idx val="15"/>
          <c:order val="15"/>
          <c:tx>
            <c:strRef>
              <c:f>'Report of E4S'!$Q$3:$Q$4</c:f>
              <c:strCache>
                <c:ptCount val="1"/>
                <c:pt idx="0">
                  <c:v>440-459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E4S'!$Q$5:$Q$33</c:f>
              <c:numCache>
                <c:formatCode>0</c:formatCode>
                <c:ptCount val="28"/>
                <c:pt idx="11">
                  <c:v>26</c:v>
                </c:pt>
                <c:pt idx="12">
                  <c:v>30</c:v>
                </c:pt>
                <c:pt idx="1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C6-3E7D-43AD-A945-E26D564AAEB9}"/>
            </c:ext>
          </c:extLst>
        </c:ser>
        <c:ser>
          <c:idx val="16"/>
          <c:order val="16"/>
          <c:tx>
            <c:strRef>
              <c:f>'Report of E4S'!$R$3:$R$4</c:f>
              <c:strCache>
                <c:ptCount val="1"/>
                <c:pt idx="0">
                  <c:v>460-479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E4S'!$R$5:$R$33</c:f>
              <c:numCache>
                <c:formatCode>0</c:formatCode>
                <c:ptCount val="28"/>
                <c:pt idx="2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7321-4587-8A5B-8B1F9D795E83}"/>
            </c:ext>
          </c:extLst>
        </c:ser>
        <c:ser>
          <c:idx val="17"/>
          <c:order val="17"/>
          <c:tx>
            <c:strRef>
              <c:f>'Report of E4S'!$S$3:$S$4</c:f>
              <c:strCache>
                <c:ptCount val="1"/>
                <c:pt idx="0">
                  <c:v>480-499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E4S'!$S$5:$S$33</c:f>
              <c:numCache>
                <c:formatCode>0</c:formatCode>
                <c:ptCount val="28"/>
                <c:pt idx="23">
                  <c:v>41</c:v>
                </c:pt>
                <c:pt idx="2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321-4587-8A5B-8B1F9D795E83}"/>
            </c:ext>
          </c:extLst>
        </c:ser>
        <c:ser>
          <c:idx val="18"/>
          <c:order val="18"/>
          <c:tx>
            <c:strRef>
              <c:f>'Report of E4S'!$T$3:$T$4</c:f>
              <c:strCache>
                <c:ptCount val="1"/>
                <c:pt idx="0">
                  <c:v>500-519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E4S'!$T$5:$T$33</c:f>
              <c:numCache>
                <c:formatCode>0</c:formatCode>
                <c:ptCount val="28"/>
                <c:pt idx="1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7321-4587-8A5B-8B1F9D795E83}"/>
            </c:ext>
          </c:extLst>
        </c:ser>
        <c:ser>
          <c:idx val="19"/>
          <c:order val="19"/>
          <c:tx>
            <c:strRef>
              <c:f>'Report of E4S'!$U$3:$U$4</c:f>
              <c:strCache>
                <c:ptCount val="1"/>
                <c:pt idx="0">
                  <c:v>700-719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'Report of E4S'!$A$5:$A$33</c:f>
              <c:strCache>
                <c:ptCount val="28"/>
                <c:pt idx="0">
                  <c:v>0-5000</c:v>
                </c:pt>
                <c:pt idx="1">
                  <c:v>5000-10000</c:v>
                </c:pt>
                <c:pt idx="2">
                  <c:v>10000-15000</c:v>
                </c:pt>
                <c:pt idx="3">
                  <c:v>15000-20000</c:v>
                </c:pt>
                <c:pt idx="4">
                  <c:v>20000-25000</c:v>
                </c:pt>
                <c:pt idx="5">
                  <c:v>25000-30000</c:v>
                </c:pt>
                <c:pt idx="6">
                  <c:v>30000-35000</c:v>
                </c:pt>
                <c:pt idx="7">
                  <c:v>35000-40000</c:v>
                </c:pt>
                <c:pt idx="8">
                  <c:v>40000-45000</c:v>
                </c:pt>
                <c:pt idx="9">
                  <c:v>45000-50000</c:v>
                </c:pt>
                <c:pt idx="10">
                  <c:v>50000-55000</c:v>
                </c:pt>
                <c:pt idx="11">
                  <c:v>60000-65000</c:v>
                </c:pt>
                <c:pt idx="12">
                  <c:v>65000-70000</c:v>
                </c:pt>
                <c:pt idx="13">
                  <c:v>70000-75000</c:v>
                </c:pt>
                <c:pt idx="14">
                  <c:v>75000-80000</c:v>
                </c:pt>
                <c:pt idx="15">
                  <c:v>85000-90000</c:v>
                </c:pt>
                <c:pt idx="16">
                  <c:v>90000-95000</c:v>
                </c:pt>
                <c:pt idx="17">
                  <c:v>95000-100000</c:v>
                </c:pt>
                <c:pt idx="18">
                  <c:v>105000-110000</c:v>
                </c:pt>
                <c:pt idx="19">
                  <c:v>110000-115000</c:v>
                </c:pt>
                <c:pt idx="20">
                  <c:v>145000-150000</c:v>
                </c:pt>
                <c:pt idx="21">
                  <c:v>185000-190000</c:v>
                </c:pt>
                <c:pt idx="22">
                  <c:v>210000-215000</c:v>
                </c:pt>
                <c:pt idx="23">
                  <c:v>215000-220000</c:v>
                </c:pt>
                <c:pt idx="24">
                  <c:v>220000-225000</c:v>
                </c:pt>
                <c:pt idx="25">
                  <c:v>260000-265000</c:v>
                </c:pt>
                <c:pt idx="26">
                  <c:v>295000-300000</c:v>
                </c:pt>
                <c:pt idx="27">
                  <c:v>375000-380000</c:v>
                </c:pt>
              </c:strCache>
            </c:strRef>
          </c:cat>
          <c:val>
            <c:numRef>
              <c:f>'Report of E4S'!$U$5:$U$33</c:f>
              <c:numCache>
                <c:formatCode>0</c:formatCode>
                <c:ptCount val="28"/>
                <c:pt idx="21">
                  <c:v>44</c:v>
                </c:pt>
                <c:pt idx="2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79-487E-B48F-367C1A2E4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064223"/>
        <c:axId val="219062303"/>
      </c:lineChart>
      <c:catAx>
        <c:axId val="21906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9062303"/>
        <c:crosses val="autoZero"/>
        <c:auto val="1"/>
        <c:lblAlgn val="ctr"/>
        <c:lblOffset val="100"/>
        <c:noMultiLvlLbl val="0"/>
      </c:catAx>
      <c:valAx>
        <c:axId val="21906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906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3047459008846"/>
          <c:y val="0.14867422914865613"/>
          <c:w val="0.11169532770196577"/>
          <c:h val="0.665349565252793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[03 - registro progetti shuttle.xlsx]Report of ESS!Tabella pivot2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of ESS'!$B$3:$B$4</c:f>
              <c:strCache>
                <c:ptCount val="1"/>
                <c:pt idx="0">
                  <c:v>20-39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ESS'!$B$5:$B$66</c:f>
              <c:numCache>
                <c:formatCode>General</c:formatCode>
                <c:ptCount val="35"/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D-47C6-A328-F86C4859E7A4}"/>
            </c:ext>
          </c:extLst>
        </c:ser>
        <c:ser>
          <c:idx val="1"/>
          <c:order val="1"/>
          <c:tx>
            <c:strRef>
              <c:f>'Report of ESS'!$C$3:$C$4</c:f>
              <c:strCache>
                <c:ptCount val="1"/>
                <c:pt idx="0">
                  <c:v>40-59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ESS'!$C$5:$C$66</c:f>
              <c:numCache>
                <c:formatCode>General</c:formatCode>
                <c:ptCount val="35"/>
                <c:pt idx="0">
                  <c:v>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D6D-47C6-A328-F86C4859E7A4}"/>
            </c:ext>
          </c:extLst>
        </c:ser>
        <c:ser>
          <c:idx val="2"/>
          <c:order val="2"/>
          <c:tx>
            <c:strRef>
              <c:f>'Report of ESS'!$D$3:$D$4</c:f>
              <c:strCache>
                <c:ptCount val="1"/>
                <c:pt idx="0">
                  <c:v>60-79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ESS'!$D$5:$D$66</c:f>
              <c:numCache>
                <c:formatCode>General</c:formatCode>
                <c:ptCount val="35"/>
                <c:pt idx="1">
                  <c:v>4</c:v>
                </c:pt>
                <c:pt idx="2">
                  <c:v>5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D6D-47C6-A328-F86C4859E7A4}"/>
            </c:ext>
          </c:extLst>
        </c:ser>
        <c:ser>
          <c:idx val="3"/>
          <c:order val="3"/>
          <c:tx>
            <c:strRef>
              <c:f>'Report of ESS'!$E$3:$E$4</c:f>
              <c:strCache>
                <c:ptCount val="1"/>
                <c:pt idx="0">
                  <c:v>80-99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ESS'!$E$5:$E$66</c:f>
              <c:numCache>
                <c:formatCode>General</c:formatCode>
                <c:ptCount val="35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D6D-47C6-A328-F86C4859E7A4}"/>
            </c:ext>
          </c:extLst>
        </c:ser>
        <c:ser>
          <c:idx val="4"/>
          <c:order val="4"/>
          <c:tx>
            <c:strRef>
              <c:f>'Report of ESS'!$F$3:$F$4</c:f>
              <c:strCache>
                <c:ptCount val="1"/>
                <c:pt idx="0">
                  <c:v>120-139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ESS'!$F$5:$F$66</c:f>
              <c:numCache>
                <c:formatCode>General</c:formatCode>
                <c:ptCount val="35"/>
                <c:pt idx="1">
                  <c:v>7</c:v>
                </c:pt>
                <c:pt idx="2">
                  <c:v>5</c:v>
                </c:pt>
                <c:pt idx="3">
                  <c:v>13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D6D-47C6-A328-F86C4859E7A4}"/>
            </c:ext>
          </c:extLst>
        </c:ser>
        <c:ser>
          <c:idx val="5"/>
          <c:order val="5"/>
          <c:tx>
            <c:strRef>
              <c:f>'Report of ESS'!$G$3:$G$4</c:f>
              <c:strCache>
                <c:ptCount val="1"/>
                <c:pt idx="0">
                  <c:v>140-159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ESS'!$G$5:$G$66</c:f>
              <c:numCache>
                <c:formatCode>General</c:formatCode>
                <c:ptCount val="35"/>
                <c:pt idx="20">
                  <c:v>6</c:v>
                </c:pt>
                <c:pt idx="24">
                  <c:v>12</c:v>
                </c:pt>
                <c:pt idx="2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D6D-47C6-A328-F86C4859E7A4}"/>
            </c:ext>
          </c:extLst>
        </c:ser>
        <c:ser>
          <c:idx val="6"/>
          <c:order val="6"/>
          <c:tx>
            <c:strRef>
              <c:f>'Report of ESS'!$H$3:$H$4</c:f>
              <c:strCache>
                <c:ptCount val="1"/>
                <c:pt idx="0">
                  <c:v>160-179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ESS'!$H$5:$H$66</c:f>
              <c:numCache>
                <c:formatCode>General</c:formatCode>
                <c:ptCount val="35"/>
                <c:pt idx="3">
                  <c:v>6</c:v>
                </c:pt>
                <c:pt idx="17">
                  <c:v>5</c:v>
                </c:pt>
                <c:pt idx="1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D6D-47C6-A328-F86C4859E7A4}"/>
            </c:ext>
          </c:extLst>
        </c:ser>
        <c:ser>
          <c:idx val="7"/>
          <c:order val="7"/>
          <c:tx>
            <c:strRef>
              <c:f>'Report of ESS'!$I$3:$I$4</c:f>
              <c:strCache>
                <c:ptCount val="1"/>
                <c:pt idx="0">
                  <c:v>180-199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ESS'!$I$5:$I$66</c:f>
              <c:numCache>
                <c:formatCode>General</c:formatCode>
                <c:ptCount val="35"/>
                <c:pt idx="5">
                  <c:v>8</c:v>
                </c:pt>
                <c:pt idx="6">
                  <c:v>8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D6D-47C6-A328-F86C4859E7A4}"/>
            </c:ext>
          </c:extLst>
        </c:ser>
        <c:ser>
          <c:idx val="8"/>
          <c:order val="8"/>
          <c:tx>
            <c:strRef>
              <c:f>'Report of ESS'!$J$3:$J$4</c:f>
              <c:strCache>
                <c:ptCount val="1"/>
                <c:pt idx="0">
                  <c:v>200-219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ESS'!$J$5:$J$66</c:f>
              <c:numCache>
                <c:formatCode>General</c:formatCode>
                <c:ptCount val="35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D6D-47C6-A328-F86C4859E7A4}"/>
            </c:ext>
          </c:extLst>
        </c:ser>
        <c:ser>
          <c:idx val="9"/>
          <c:order val="9"/>
          <c:tx>
            <c:strRef>
              <c:f>'Report of ESS'!$K$3:$K$4</c:f>
              <c:strCache>
                <c:ptCount val="1"/>
                <c:pt idx="0">
                  <c:v>220-239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ESS'!$K$5:$K$66</c:f>
              <c:numCache>
                <c:formatCode>General</c:formatCode>
                <c:ptCount val="35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D6D-47C6-A328-F86C4859E7A4}"/>
            </c:ext>
          </c:extLst>
        </c:ser>
        <c:ser>
          <c:idx val="10"/>
          <c:order val="10"/>
          <c:tx>
            <c:strRef>
              <c:f>'Report of ESS'!$L$3:$L$4</c:f>
              <c:strCache>
                <c:ptCount val="1"/>
                <c:pt idx="0">
                  <c:v>260-279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ESS'!$L$5:$L$66</c:f>
              <c:numCache>
                <c:formatCode>General</c:formatCode>
                <c:ptCount val="35"/>
                <c:pt idx="1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D6D-47C6-A328-F86C4859E7A4}"/>
            </c:ext>
          </c:extLst>
        </c:ser>
        <c:ser>
          <c:idx val="11"/>
          <c:order val="11"/>
          <c:tx>
            <c:strRef>
              <c:f>'Report of ESS'!$M$3:$M$4</c:f>
              <c:strCache>
                <c:ptCount val="1"/>
                <c:pt idx="0">
                  <c:v>280-299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ESS'!$M$5:$M$66</c:f>
              <c:numCache>
                <c:formatCode>General</c:formatCode>
                <c:ptCount val="35"/>
                <c:pt idx="7">
                  <c:v>12</c:v>
                </c:pt>
                <c:pt idx="10">
                  <c:v>12</c:v>
                </c:pt>
                <c:pt idx="14">
                  <c:v>12</c:v>
                </c:pt>
                <c:pt idx="30">
                  <c:v>14</c:v>
                </c:pt>
                <c:pt idx="32">
                  <c:v>21</c:v>
                </c:pt>
                <c:pt idx="3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D6D-47C6-A328-F86C4859E7A4}"/>
            </c:ext>
          </c:extLst>
        </c:ser>
        <c:ser>
          <c:idx val="12"/>
          <c:order val="12"/>
          <c:tx>
            <c:strRef>
              <c:f>'Report of ESS'!$N$3:$N$4</c:f>
              <c:strCache>
                <c:ptCount val="1"/>
                <c:pt idx="0">
                  <c:v>360-379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ESS'!$N$5:$N$66</c:f>
              <c:numCache>
                <c:formatCode>General</c:formatCode>
                <c:ptCount val="35"/>
                <c:pt idx="5">
                  <c:v>12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D6D-47C6-A328-F86C4859E7A4}"/>
            </c:ext>
          </c:extLst>
        </c:ser>
        <c:ser>
          <c:idx val="13"/>
          <c:order val="13"/>
          <c:tx>
            <c:strRef>
              <c:f>'Report of ESS'!$O$3:$O$4</c:f>
              <c:strCache>
                <c:ptCount val="1"/>
                <c:pt idx="0">
                  <c:v>380-399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ESS'!$O$5:$O$66</c:f>
              <c:numCache>
                <c:formatCode>General</c:formatCode>
                <c:ptCount val="35"/>
                <c:pt idx="20">
                  <c:v>20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D6D-47C6-A328-F86C4859E7A4}"/>
            </c:ext>
          </c:extLst>
        </c:ser>
        <c:ser>
          <c:idx val="14"/>
          <c:order val="14"/>
          <c:tx>
            <c:strRef>
              <c:f>'Report of ESS'!$P$3:$P$4</c:f>
              <c:strCache>
                <c:ptCount val="1"/>
                <c:pt idx="0">
                  <c:v>400-419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ESS'!$P$5:$P$66</c:f>
              <c:numCache>
                <c:formatCode>General</c:formatCode>
                <c:ptCount val="35"/>
                <c:pt idx="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D6D-47C6-A328-F86C4859E7A4}"/>
            </c:ext>
          </c:extLst>
        </c:ser>
        <c:ser>
          <c:idx val="15"/>
          <c:order val="15"/>
          <c:tx>
            <c:strRef>
              <c:f>'Report of ESS'!$Q$3:$Q$4</c:f>
              <c:strCache>
                <c:ptCount val="1"/>
                <c:pt idx="0">
                  <c:v>460-479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ESS'!$Q$5:$Q$66</c:f>
              <c:numCache>
                <c:formatCode>General</c:formatCode>
                <c:ptCount val="35"/>
                <c:pt idx="31">
                  <c:v>24</c:v>
                </c:pt>
                <c:pt idx="3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0D6D-47C6-A328-F86C4859E7A4}"/>
            </c:ext>
          </c:extLst>
        </c:ser>
        <c:ser>
          <c:idx val="16"/>
          <c:order val="16"/>
          <c:tx>
            <c:strRef>
              <c:f>'Report of ESS'!$R$3:$R$4</c:f>
              <c:strCache>
                <c:ptCount val="1"/>
                <c:pt idx="0">
                  <c:v>500-519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ESS'!$R$5:$R$66</c:f>
              <c:numCache>
                <c:formatCode>General</c:formatCode>
                <c:ptCount val="35"/>
                <c:pt idx="8">
                  <c:v>16</c:v>
                </c:pt>
                <c:pt idx="1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0D6D-47C6-A328-F86C4859E7A4}"/>
            </c:ext>
          </c:extLst>
        </c:ser>
        <c:ser>
          <c:idx val="17"/>
          <c:order val="17"/>
          <c:tx>
            <c:strRef>
              <c:f>'Report of ESS'!$S$3:$S$4</c:f>
              <c:strCache>
                <c:ptCount val="1"/>
                <c:pt idx="0">
                  <c:v>600-619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ESS'!$S$5:$S$66</c:f>
              <c:numCache>
                <c:formatCode>General</c:formatCode>
                <c:ptCount val="35"/>
                <c:pt idx="12">
                  <c:v>16</c:v>
                </c:pt>
                <c:pt idx="25">
                  <c:v>25</c:v>
                </c:pt>
                <c:pt idx="2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0D6D-47C6-A328-F86C4859E7A4}"/>
            </c:ext>
          </c:extLst>
        </c:ser>
        <c:ser>
          <c:idx val="18"/>
          <c:order val="18"/>
          <c:tx>
            <c:strRef>
              <c:f>'Report of ESS'!$T$3:$T$4</c:f>
              <c:strCache>
                <c:ptCount val="1"/>
                <c:pt idx="0">
                  <c:v>700-719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ESS'!$T$5:$T$66</c:f>
              <c:numCache>
                <c:formatCode>General</c:formatCode>
                <c:ptCount val="35"/>
                <c:pt idx="15">
                  <c:v>27</c:v>
                </c:pt>
                <c:pt idx="28">
                  <c:v>20</c:v>
                </c:pt>
                <c:pt idx="2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1F-4C50-972B-53CAC02A49EE}"/>
            </c:ext>
          </c:extLst>
        </c:ser>
        <c:ser>
          <c:idx val="19"/>
          <c:order val="19"/>
          <c:tx>
            <c:strRef>
              <c:f>'Report of ESS'!$U$3:$U$4</c:f>
              <c:strCache>
                <c:ptCount val="1"/>
                <c:pt idx="0">
                  <c:v>960-979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'Report of ESS'!$A$5:$A$66</c:f>
              <c:multiLvlStrCache>
                <c:ptCount val="35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3</c:v>
                  </c:pt>
                  <c:pt idx="8">
                    <c:v>8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9</c:v>
                  </c:pt>
                  <c:pt idx="14">
                    <c:v>3</c:v>
                  </c:pt>
                  <c:pt idx="15">
                    <c:v>3</c:v>
                  </c:pt>
                  <c:pt idx="16">
                    <c:v>1</c:v>
                  </c:pt>
                  <c:pt idx="17">
                    <c:v>1</c:v>
                  </c:pt>
                  <c:pt idx="18">
                    <c:v>2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4</c:v>
                  </c:pt>
                  <c:pt idx="23">
                    <c:v>3</c:v>
                  </c:pt>
                  <c:pt idx="24">
                    <c:v>2</c:v>
                  </c:pt>
                  <c:pt idx="25">
                    <c:v>5</c:v>
                  </c:pt>
                  <c:pt idx="26">
                    <c:v>2</c:v>
                  </c:pt>
                  <c:pt idx="27">
                    <c:v>5</c:v>
                  </c:pt>
                  <c:pt idx="28">
                    <c:v>2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</c:lvl>
                <c:lvl>
                  <c:pt idx="0">
                    <c:v>0-5000</c:v>
                  </c:pt>
                  <c:pt idx="1">
                    <c:v>5000-10000</c:v>
                  </c:pt>
                  <c:pt idx="2">
                    <c:v>10000-15000</c:v>
                  </c:pt>
                  <c:pt idx="4">
                    <c:v>15000-20000</c:v>
                  </c:pt>
                  <c:pt idx="5">
                    <c:v>20000-25000</c:v>
                  </c:pt>
                  <c:pt idx="6">
                    <c:v>30000-35000</c:v>
                  </c:pt>
                  <c:pt idx="9">
                    <c:v>35000-40000</c:v>
                  </c:pt>
                  <c:pt idx="11">
                    <c:v>40000-45000</c:v>
                  </c:pt>
                  <c:pt idx="14">
                    <c:v>45000-50000</c:v>
                  </c:pt>
                  <c:pt idx="15">
                    <c:v>55000-60000</c:v>
                  </c:pt>
                  <c:pt idx="16">
                    <c:v>65000-70000</c:v>
                  </c:pt>
                  <c:pt idx="17">
                    <c:v>75000-80000</c:v>
                  </c:pt>
                  <c:pt idx="19">
                    <c:v>85000-90000</c:v>
                  </c:pt>
                  <c:pt idx="20">
                    <c:v>115000-120000</c:v>
                  </c:pt>
                  <c:pt idx="21">
                    <c:v>120000-125000</c:v>
                  </c:pt>
                  <c:pt idx="22">
                    <c:v>130000-135000</c:v>
                  </c:pt>
                  <c:pt idx="23">
                    <c:v>150000-155000</c:v>
                  </c:pt>
                  <c:pt idx="24">
                    <c:v>160000-165000</c:v>
                  </c:pt>
                  <c:pt idx="25">
                    <c:v>180000-185000</c:v>
                  </c:pt>
                  <c:pt idx="26">
                    <c:v>185000-190000</c:v>
                  </c:pt>
                  <c:pt idx="28">
                    <c:v>190000-195000</c:v>
                  </c:pt>
                  <c:pt idx="29">
                    <c:v>200000-205000</c:v>
                  </c:pt>
                  <c:pt idx="30">
                    <c:v>260000-265000</c:v>
                  </c:pt>
                  <c:pt idx="32">
                    <c:v>265000-270000</c:v>
                  </c:pt>
                  <c:pt idx="33">
                    <c:v>270000-275000</c:v>
                  </c:pt>
                  <c:pt idx="34">
                    <c:v>310000-315000</c:v>
                  </c:pt>
                </c:lvl>
              </c:multiLvlStrCache>
            </c:multiLvlStrRef>
          </c:cat>
          <c:val>
            <c:numRef>
              <c:f>'Report of ESS'!$U$5:$U$66</c:f>
              <c:numCache>
                <c:formatCode>General</c:formatCode>
                <c:ptCount val="35"/>
                <c:pt idx="2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81F-4C50-972B-53CAC02A4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064223"/>
        <c:axId val="219062303"/>
      </c:barChart>
      <c:catAx>
        <c:axId val="21906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9062303"/>
        <c:crosses val="autoZero"/>
        <c:auto val="1"/>
        <c:lblAlgn val="ctr"/>
        <c:lblOffset val="100"/>
        <c:noMultiLvlLbl val="0"/>
      </c:catAx>
      <c:valAx>
        <c:axId val="21906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906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3047459008846"/>
          <c:y val="0.14867422914865613"/>
          <c:w val="0.11169534061366061"/>
          <c:h val="0.7072983351164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200977</xdr:colOff>
      <xdr:row>1</xdr:row>
      <xdr:rowOff>44766</xdr:rowOff>
    </xdr:from>
    <xdr:to>
      <xdr:col>57</xdr:col>
      <xdr:colOff>253365</xdr:colOff>
      <xdr:row>22</xdr:row>
      <xdr:rowOff>38099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A28AB11-1C5D-9F47-9CD2-41E755EF2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155257</xdr:colOff>
      <xdr:row>2</xdr:row>
      <xdr:rowOff>180021</xdr:rowOff>
    </xdr:from>
    <xdr:to>
      <xdr:col>69</xdr:col>
      <xdr:colOff>116205</xdr:colOff>
      <xdr:row>23</xdr:row>
      <xdr:rowOff>171449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E4E0942-EEA7-4F43-9554-8F22DDA92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155257</xdr:colOff>
      <xdr:row>2</xdr:row>
      <xdr:rowOff>180021</xdr:rowOff>
    </xdr:from>
    <xdr:to>
      <xdr:col>69</xdr:col>
      <xdr:colOff>116205</xdr:colOff>
      <xdr:row>23</xdr:row>
      <xdr:rowOff>171449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184263D-B560-482B-86F6-0A2D1FFC7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155257</xdr:colOff>
      <xdr:row>2</xdr:row>
      <xdr:rowOff>180021</xdr:rowOff>
    </xdr:from>
    <xdr:to>
      <xdr:col>69</xdr:col>
      <xdr:colOff>116205</xdr:colOff>
      <xdr:row>23</xdr:row>
      <xdr:rowOff>171449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BFADFD8-E7E8-4ADE-80DA-4B6C8535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155257</xdr:colOff>
      <xdr:row>2</xdr:row>
      <xdr:rowOff>180021</xdr:rowOff>
    </xdr:from>
    <xdr:to>
      <xdr:col>69</xdr:col>
      <xdr:colOff>116205</xdr:colOff>
      <xdr:row>23</xdr:row>
      <xdr:rowOff>171449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E37BA73-5EFA-4E6B-8E00-E9DB523DC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16459</xdr:colOff>
      <xdr:row>15</xdr:row>
      <xdr:rowOff>139963</xdr:rowOff>
    </xdr:from>
    <xdr:to>
      <xdr:col>81</xdr:col>
      <xdr:colOff>166107</xdr:colOff>
      <xdr:row>44</xdr:row>
      <xdr:rowOff>67785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EE91861-CA80-DF33-3C68-5BFCE32DF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338666</xdr:colOff>
      <xdr:row>2</xdr:row>
      <xdr:rowOff>31750</xdr:rowOff>
    </xdr:from>
    <xdr:to>
      <xdr:col>4</xdr:col>
      <xdr:colOff>333586</xdr:colOff>
      <xdr:row>16</xdr:row>
      <xdr:rowOff>68369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V warehouse [m3] 1">
              <a:extLst>
                <a:ext uri="{FF2B5EF4-FFF2-40B4-BE49-F238E27FC236}">
                  <a16:creationId xmlns:a16="http://schemas.microsoft.com/office/drawing/2014/main" id="{01818846-86D9-4CE7-BF0E-DB6369F938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 warehouse [m3]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6761" y="400262"/>
              <a:ext cx="1836420" cy="2566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317500</xdr:colOff>
      <xdr:row>18</xdr:row>
      <xdr:rowOff>105833</xdr:rowOff>
    </xdr:from>
    <xdr:to>
      <xdr:col>4</xdr:col>
      <xdr:colOff>312420</xdr:colOff>
      <xdr:row>32</xdr:row>
      <xdr:rowOff>154940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otal throughput 1">
              <a:extLst>
                <a:ext uri="{FF2B5EF4-FFF2-40B4-BE49-F238E27FC236}">
                  <a16:creationId xmlns:a16="http://schemas.microsoft.com/office/drawing/2014/main" id="{172315E9-2B0D-4983-BB72-15B4ED1BF4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throughpu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310" y="3363595"/>
              <a:ext cx="1834515" cy="2569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16459</xdr:colOff>
      <xdr:row>15</xdr:row>
      <xdr:rowOff>139963</xdr:rowOff>
    </xdr:from>
    <xdr:to>
      <xdr:col>81</xdr:col>
      <xdr:colOff>166107</xdr:colOff>
      <xdr:row>44</xdr:row>
      <xdr:rowOff>67785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D974419-9512-4422-9576-29683D472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243417</xdr:colOff>
      <xdr:row>2</xdr:row>
      <xdr:rowOff>95250</xdr:rowOff>
    </xdr:from>
    <xdr:to>
      <xdr:col>4</xdr:col>
      <xdr:colOff>226907</xdr:colOff>
      <xdr:row>16</xdr:row>
      <xdr:rowOff>131869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V warehouse [m3]">
              <a:extLst>
                <a:ext uri="{FF2B5EF4-FFF2-40B4-BE49-F238E27FC236}">
                  <a16:creationId xmlns:a16="http://schemas.microsoft.com/office/drawing/2014/main" id="{0578970C-305F-4AA5-908C-F8501D888C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 warehouse [m3]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227" y="461857"/>
              <a:ext cx="1821180" cy="2573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222250</xdr:colOff>
      <xdr:row>19</xdr:row>
      <xdr:rowOff>0</xdr:rowOff>
    </xdr:from>
    <xdr:to>
      <xdr:col>4</xdr:col>
      <xdr:colOff>205740</xdr:colOff>
      <xdr:row>33</xdr:row>
      <xdr:rowOff>49106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otal throughput">
              <a:extLst>
                <a:ext uri="{FF2B5EF4-FFF2-40B4-BE49-F238E27FC236}">
                  <a16:creationId xmlns:a16="http://schemas.microsoft.com/office/drawing/2014/main" id="{C138FF33-B89F-4903-B6A0-88D18DC61E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throughpu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345" y="3439583"/>
              <a:ext cx="1830705" cy="2569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e Accorroni" refreshedDate="45782.52167303241" createdVersion="8" refreshedVersion="8" minRefreshableVersion="3" recordCount="160" xr:uid="{2D6D30BC-58F5-4FED-9DDB-44D5A56EB941}">
  <cacheSource type="worksheet">
    <worksheetSource ref="B1:P1048576" sheet="Data"/>
  </cacheSource>
  <cacheFields count="15">
    <cacheField name="Offer number" numFmtId="0">
      <sharedItems containsBlank="1"/>
    </cacheField>
    <cacheField name="System integrator" numFmtId="0">
      <sharedItems containsBlank="1"/>
    </cacheField>
    <cacheField name="Project" numFmtId="0">
      <sharedItems containsBlank="1"/>
    </cacheField>
    <cacheField name="ESS/E4S" numFmtId="0">
      <sharedItems containsBlank="1" count="4">
        <s v="E4S"/>
        <s v="ESS"/>
        <s v="ESS "/>
        <m/>
      </sharedItems>
    </cacheField>
    <cacheField name="p.p." numFmtId="1">
      <sharedItems containsString="0" containsBlank="1" containsNumber="1" containsInteger="1" minValue="150" maxValue="78000"/>
    </cacheField>
    <cacheField name="L warehouse [m]" numFmtId="0">
      <sharedItems containsString="0" containsBlank="1" containsNumber="1" containsInteger="1" minValue="12" maxValue="247"/>
    </cacheField>
    <cacheField name="D warehouse [m]" numFmtId="0">
      <sharedItems containsString="0" containsBlank="1" containsNumber="1" containsInteger="1" minValue="8" maxValue="132" count="61">
        <n v="13"/>
        <n v="41"/>
        <n v="58"/>
        <n v="66"/>
        <n v="29"/>
        <n v="43"/>
        <n v="25"/>
        <n v="11"/>
        <n v="22"/>
        <n v="54"/>
        <n v="65"/>
        <n v="51"/>
        <n v="59"/>
        <n v="110"/>
        <n v="34"/>
        <n v="69"/>
        <n v="49"/>
        <n v="88"/>
        <n v="90"/>
        <n v="105"/>
        <n v="106"/>
        <n v="98"/>
        <n v="80"/>
        <n v="50"/>
        <n v="33"/>
        <n v="84"/>
        <n v="40"/>
        <n v="24"/>
        <n v="14"/>
        <n v="31"/>
        <n v="27"/>
        <n v="52"/>
        <n v="67"/>
        <n v="26"/>
        <n v="8"/>
        <n v="62"/>
        <n v="95"/>
        <n v="42"/>
        <n v="76"/>
        <n v="130"/>
        <n v="15"/>
        <n v="30"/>
        <n v="16"/>
        <n v="74"/>
        <n v="104"/>
        <n v="103"/>
        <n v="60"/>
        <n v="92"/>
        <n v="36"/>
        <n v="19"/>
        <n v="39"/>
        <n v="38"/>
        <n v="107"/>
        <n v="85"/>
        <n v="56"/>
        <n v="48"/>
        <n v="132"/>
        <n v="128"/>
        <n v="79"/>
        <m/>
        <n v="46" u="1"/>
      </sharedItems>
    </cacheField>
    <cacheField name="H warehouse [m]" numFmtId="0">
      <sharedItems containsString="0" containsBlank="1" containsNumber="1" minValue="2.5" maxValue="42"/>
    </cacheField>
    <cacheField name="N° levels" numFmtId="0">
      <sharedItems containsString="0" containsBlank="1" containsNumber="1" containsInteger="1" minValue="1" maxValue="18"/>
    </cacheField>
    <cacheField name="N° aisles" numFmtId="0">
      <sharedItems containsString="0" containsBlank="1" containsNumber="1" containsInteger="1" minValue="1" maxValue="18"/>
    </cacheField>
    <cacheField name="N° channel" numFmtId="0">
      <sharedItems containsBlank="1" containsMixedTypes="1" containsNumber="1" containsInteger="1" minValue="11" maxValue="150"/>
    </cacheField>
    <cacheField name="Total throughput" numFmtId="0">
      <sharedItems containsString="0" containsBlank="1" containsNumber="1" containsInteger="1" minValue="8" maxValue="978"/>
    </cacheField>
    <cacheField name="N° machine" numFmtId="0">
      <sharedItems containsString="0" containsBlank="1" containsNumber="1" containsInteger="1" minValue="1" maxValue="50"/>
    </cacheField>
    <cacheField name="Frozen" numFmtId="0">
      <sharedItems containsBlank="1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e Accorroni" refreshedDate="45790.507632986111" createdVersion="8" refreshedVersion="8" minRefreshableVersion="3" recordCount="180" xr:uid="{9CF8BA0D-6610-4964-8932-BF64E1C3A1C3}">
  <cacheSource type="worksheet">
    <worksheetSource ref="C1:Q1048576" sheet="Data"/>
  </cacheSource>
  <cacheFields count="15">
    <cacheField name="System integrator" numFmtId="0">
      <sharedItems containsBlank="1"/>
    </cacheField>
    <cacheField name="Project" numFmtId="0">
      <sharedItems containsBlank="1"/>
    </cacheField>
    <cacheField name="ESS/E4S" numFmtId="0">
      <sharedItems containsBlank="1" count="4">
        <s v="E4S"/>
        <s v="ESS"/>
        <s v="ESS "/>
        <m/>
      </sharedItems>
    </cacheField>
    <cacheField name="p.p." numFmtId="1">
      <sharedItems containsString="0" containsBlank="1" containsNumber="1" containsInteger="1" minValue="150" maxValue="78000"/>
    </cacheField>
    <cacheField name="L warehouse [m]" numFmtId="0">
      <sharedItems containsString="0" containsBlank="1" containsNumber="1" containsInteger="1" minValue="12" maxValue="247"/>
    </cacheField>
    <cacheField name="D warehouse [m]" numFmtId="0">
      <sharedItems containsString="0" containsBlank="1" containsNumber="1" containsInteger="1" minValue="8" maxValue="132"/>
    </cacheField>
    <cacheField name="H warehouse [m]" numFmtId="0">
      <sharedItems containsString="0" containsBlank="1" containsNumber="1" minValue="2.5" maxValue="42"/>
    </cacheField>
    <cacheField name="N° levels" numFmtId="0">
      <sharedItems containsString="0" containsBlank="1" containsNumber="1" containsInteger="1" minValue="1" maxValue="18"/>
    </cacheField>
    <cacheField name="N° aisles" numFmtId="0">
      <sharedItems containsString="0" containsBlank="1" containsNumber="1" containsInteger="1" minValue="1" maxValue="18" count="12">
        <n v="3"/>
        <n v="1"/>
        <n v="2"/>
        <n v="7"/>
        <n v="6"/>
        <n v="5"/>
        <n v="8"/>
        <n v="4"/>
        <n v="9"/>
        <n v="18"/>
        <n v="15"/>
        <m/>
      </sharedItems>
    </cacheField>
    <cacheField name="N° channel" numFmtId="0">
      <sharedItems containsBlank="1" containsMixedTypes="1" containsNumber="1" containsInteger="1" minValue="11" maxValue="150"/>
    </cacheField>
    <cacheField name="Total throughput" numFmtId="0">
      <sharedItems containsString="0" containsBlank="1" containsNumber="1" containsInteger="1" minValue="8" maxValue="978" count="70">
        <n v="66"/>
        <n v="150"/>
        <n v="70"/>
        <n v="40"/>
        <n v="95"/>
        <n v="45"/>
        <n v="132"/>
        <n v="76"/>
        <n v="100"/>
        <n v="270"/>
        <n v="288"/>
        <n v="372"/>
        <n v="192"/>
        <n v="296"/>
        <n v="266"/>
        <n v="290"/>
        <n v="26"/>
        <n v="61"/>
        <n v="80"/>
        <n v="500"/>
        <n v="461"/>
        <n v="190"/>
        <n v="160"/>
        <n v="600"/>
        <n v="126"/>
        <n v="120"/>
        <n v="25"/>
        <n v="608"/>
        <n v="99"/>
        <n v="978"/>
        <n v="60"/>
        <n v="230"/>
        <n v="265"/>
        <n v="410"/>
        <n v="395"/>
        <n v="460"/>
        <n v="78"/>
        <n v="85"/>
        <n v="65"/>
        <n v="72"/>
        <n v="360"/>
        <n v="700"/>
        <n v="52"/>
        <n v="10"/>
        <n v="8"/>
        <n v="12"/>
        <n v="200"/>
        <n v="105"/>
        <n v="152"/>
        <n v="30"/>
        <n v="300"/>
        <n v="46"/>
        <n v="153"/>
        <n v="15"/>
        <n v="19"/>
        <n v="457"/>
        <n v="480"/>
        <n v="92"/>
        <n v="514"/>
        <n v="104"/>
        <n v="236"/>
        <n v="48"/>
        <n v="67"/>
        <n v="134"/>
        <n v="195"/>
        <n v="62"/>
        <n v="87"/>
        <n v="50"/>
        <n v="63"/>
        <m/>
      </sharedItems>
      <fieldGroup base="10">
        <rangePr autoStart="0" autoEnd="0" startNum="0" endNum="1500" groupInterval="20"/>
        <groupItems count="77">
          <s v="&lt;0 o (vuoto)"/>
          <s v="0-19"/>
          <s v="20-39"/>
          <s v="40-59"/>
          <s v="60-79"/>
          <s v="80-99"/>
          <s v="100-119"/>
          <s v="120-139"/>
          <s v="140-159"/>
          <s v="160-179"/>
          <s v="180-199"/>
          <s v="200-219"/>
          <s v="220-239"/>
          <s v="240-259"/>
          <s v="260-279"/>
          <s v="280-299"/>
          <s v="300-319"/>
          <s v="320-339"/>
          <s v="340-359"/>
          <s v="360-379"/>
          <s v="380-399"/>
          <s v="400-419"/>
          <s v="420-439"/>
          <s v="440-459"/>
          <s v="460-479"/>
          <s v="480-499"/>
          <s v="500-519"/>
          <s v="520-539"/>
          <s v="540-559"/>
          <s v="560-579"/>
          <s v="580-599"/>
          <s v="600-619"/>
          <s v="620-639"/>
          <s v="640-659"/>
          <s v="660-679"/>
          <s v="680-699"/>
          <s v="700-719"/>
          <s v="720-739"/>
          <s v="740-759"/>
          <s v="760-779"/>
          <s v="780-799"/>
          <s v="800-819"/>
          <s v="820-839"/>
          <s v="840-859"/>
          <s v="860-879"/>
          <s v="880-899"/>
          <s v="900-919"/>
          <s v="920-939"/>
          <s v="940-959"/>
          <s v="960-979"/>
          <s v="980-999"/>
          <s v="1000-1019"/>
          <s v="1020-1039"/>
          <s v="1040-1059"/>
          <s v="1060-1079"/>
          <s v="1080-1099"/>
          <s v="1100-1119"/>
          <s v="1120-1139"/>
          <s v="1140-1159"/>
          <s v="1160-1179"/>
          <s v="1180-1199"/>
          <s v="1200-1219"/>
          <s v="1220-1239"/>
          <s v="1240-1259"/>
          <s v="1260-1279"/>
          <s v="1280-1299"/>
          <s v="1300-1319"/>
          <s v="1320-1339"/>
          <s v="1340-1359"/>
          <s v="1360-1379"/>
          <s v="1380-1399"/>
          <s v="1400-1419"/>
          <s v="1420-1439"/>
          <s v="1440-1459"/>
          <s v="1460-1479"/>
          <s v="1480-1500"/>
          <s v="&gt;1500"/>
        </groupItems>
      </fieldGroup>
    </cacheField>
    <cacheField name="N° machine" numFmtId="0">
      <sharedItems containsString="0" containsBlank="1" containsNumber="1" containsInteger="1" minValue="1" maxValue="50"/>
    </cacheField>
    <cacheField name="Frozen" numFmtId="0">
      <sharedItems containsBlank="1"/>
    </cacheField>
    <cacheField name="Note" numFmtId="0">
      <sharedItems containsBlank="1"/>
    </cacheField>
    <cacheField name="V warehouse [m3]" numFmtId="0">
      <sharedItems containsString="0" containsBlank="1" containsNumber="1" minValue="0" maxValue="376656" count="125">
        <n v="11700"/>
        <n v="116604"/>
        <n v="164952"/>
        <n v="187704"/>
        <n v="7424"/>
        <n v="38725.800000000003"/>
        <n v="13250"/>
        <n v="5033.6000000000004"/>
        <n v="17940"/>
        <n v="16830"/>
        <n v="73332"/>
        <n v="78182"/>
        <n v="76185.600000000006"/>
        <n v="77376"/>
        <n v="86394"/>
        <n v="72428.400000000009"/>
        <n v="33000"/>
        <n v="31008"/>
        <n v="35750"/>
        <n v="33592"/>
        <n v="24150"/>
        <n v="49028"/>
        <n v="54978"/>
        <n v="263120"/>
        <n v="269100"/>
        <n v="313950"/>
        <n v="4158"/>
        <n v="94185"/>
        <n v="95082"/>
        <n v="15300"/>
        <n v="299782"/>
        <n v="5643"/>
        <n v="34320"/>
        <n v="260800"/>
        <n v="39600"/>
        <n v="12375"/>
        <n v="53625"/>
        <n v="183456"/>
        <n v="15931.5"/>
        <n v="14801"/>
        <n v="17100"/>
        <n v="11520"/>
        <n v="8568"/>
        <n v="23424"/>
        <n v="40848"/>
        <n v="18600"/>
        <n v="10962"/>
        <n v="14560"/>
        <n v="14280"/>
        <n v="133142.39999999999"/>
        <n v="11856"/>
        <n v="42240"/>
        <n v="5152"/>
        <n v="65100"/>
        <n v="150100"/>
        <n v="116928"/>
        <n v="376656"/>
        <n v="120960"/>
        <n v="14355"/>
        <n v="33303.599999999999"/>
        <n v="43200"/>
        <n v="40560"/>
        <n v="272000"/>
        <n v="148500"/>
        <n v="12600"/>
        <n v="12960"/>
        <n v="11760"/>
        <n v="21216"/>
        <n v="78506.600000000006"/>
        <n v="190611.19999999998"/>
        <n v="186388.8"/>
        <n v="16027"/>
        <n v="14700"/>
        <n v="46200"/>
        <n v="203280"/>
        <n v="212520"/>
        <n v="58968"/>
        <n v="2052"/>
        <n v="3608"/>
        <n v="15080"/>
        <n v="34800"/>
        <n v="12400"/>
        <n v="25200"/>
        <n v="26840"/>
        <n v="5200"/>
        <n v="5616"/>
        <n v="18810"/>
        <n v="27900"/>
        <n v="264290"/>
        <n v="3792.6"/>
        <n v="188700"/>
        <n v="75144"/>
        <n v="13920"/>
        <n v="33640"/>
        <n v="37700"/>
        <n v="32480"/>
        <n v="25155"/>
        <n v="44880"/>
        <n v="20064"/>
        <n v="15792"/>
        <n v="108300"/>
        <n v="63504"/>
        <n v="223423.19999999998"/>
        <n v="91440"/>
        <n v="216652.79999999999"/>
        <n v="687.5"/>
        <n v="109440"/>
        <n v="68040"/>
        <n v="70434"/>
        <n v="22200"/>
        <n v="35520"/>
        <n v="60435"/>
        <n v="110592"/>
        <n v="36480"/>
        <n v="72960"/>
        <n v="24369.5"/>
        <n v="14210"/>
        <n v="26676"/>
        <n v="32319"/>
        <n v="3328"/>
        <n v="2496"/>
        <n v="10370"/>
        <n v="7680"/>
        <n v="0"/>
        <m/>
      </sharedItems>
      <fieldGroup base="14">
        <rangePr autoStart="0" autoEnd="0" startNum="0" endNum="500000" groupInterval="5000"/>
        <groupItems count="102">
          <s v="&lt;0 o (vuoto)"/>
          <s v="0-5000"/>
          <s v="5000-10000"/>
          <s v="10000-15000"/>
          <s v="15000-20000"/>
          <s v="20000-25000"/>
          <s v="25000-30000"/>
          <s v="30000-35000"/>
          <s v="35000-40000"/>
          <s v="40000-45000"/>
          <s v="45000-50000"/>
          <s v="50000-55000"/>
          <s v="55000-60000"/>
          <s v="60000-65000"/>
          <s v="65000-70000"/>
          <s v="70000-75000"/>
          <s v="75000-80000"/>
          <s v="80000-85000"/>
          <s v="85000-90000"/>
          <s v="90000-95000"/>
          <s v="95000-100000"/>
          <s v="100000-105000"/>
          <s v="105000-110000"/>
          <s v="110000-115000"/>
          <s v="115000-120000"/>
          <s v="120000-125000"/>
          <s v="125000-130000"/>
          <s v="130000-135000"/>
          <s v="135000-140000"/>
          <s v="140000-145000"/>
          <s v="145000-150000"/>
          <s v="150000-155000"/>
          <s v="155000-160000"/>
          <s v="160000-165000"/>
          <s v="165000-170000"/>
          <s v="170000-175000"/>
          <s v="175000-180000"/>
          <s v="180000-185000"/>
          <s v="185000-190000"/>
          <s v="190000-195000"/>
          <s v="195000-200000"/>
          <s v="200000-205000"/>
          <s v="205000-210000"/>
          <s v="210000-215000"/>
          <s v="215000-220000"/>
          <s v="220000-225000"/>
          <s v="225000-230000"/>
          <s v="230000-235000"/>
          <s v="235000-240000"/>
          <s v="240000-245000"/>
          <s v="245000-250000"/>
          <s v="250000-255000"/>
          <s v="255000-260000"/>
          <s v="260000-265000"/>
          <s v="265000-270000"/>
          <s v="270000-275000"/>
          <s v="275000-280000"/>
          <s v="280000-285000"/>
          <s v="285000-290000"/>
          <s v="290000-295000"/>
          <s v="295000-300000"/>
          <s v="300000-305000"/>
          <s v="305000-310000"/>
          <s v="310000-315000"/>
          <s v="315000-320000"/>
          <s v="320000-325000"/>
          <s v="325000-330000"/>
          <s v="330000-335000"/>
          <s v="335000-340000"/>
          <s v="340000-345000"/>
          <s v="345000-350000"/>
          <s v="350000-355000"/>
          <s v="355000-360000"/>
          <s v="360000-365000"/>
          <s v="365000-370000"/>
          <s v="370000-375000"/>
          <s v="375000-380000"/>
          <s v="380000-385000"/>
          <s v="385000-390000"/>
          <s v="390000-395000"/>
          <s v="395000-400000"/>
          <s v="400000-405000"/>
          <s v="405000-410000"/>
          <s v="410000-415000"/>
          <s v="415000-420000"/>
          <s v="420000-425000"/>
          <s v="425000-430000"/>
          <s v="430000-435000"/>
          <s v="435000-440000"/>
          <s v="440000-445000"/>
          <s v="445000-450000"/>
          <s v="450000-455000"/>
          <s v="455000-460000"/>
          <s v="460000-465000"/>
          <s v="465000-470000"/>
          <s v="470000-475000"/>
          <s v="475000-480000"/>
          <s v="480000-485000"/>
          <s v="485000-490000"/>
          <s v="490000-495000"/>
          <s v="495000-500000"/>
          <s v="&gt;500000"/>
        </groupItems>
      </fieldGroup>
    </cacheField>
  </cacheFields>
  <extLst>
    <ext xmlns:x14="http://schemas.microsoft.com/office/spreadsheetml/2009/9/main" uri="{725AE2AE-9491-48be-B2B4-4EB974FC3084}">
      <x14:pivotCacheDefinition pivotCacheId="120058916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e Accorroni" refreshedDate="45790.646579282409" createdVersion="8" refreshedVersion="8" minRefreshableVersion="3" recordCount="179" xr:uid="{FBA2650F-CA39-4C8F-A636-D51E2202272C}">
  <cacheSource type="worksheet">
    <worksheetSource ref="C1:S180" sheet="Data"/>
  </cacheSource>
  <cacheFields count="18">
    <cacheField name="System integrator" numFmtId="0">
      <sharedItems containsBlank="1"/>
    </cacheField>
    <cacheField name="Project" numFmtId="0">
      <sharedItems containsBlank="1"/>
    </cacheField>
    <cacheField name="ESS/E4S" numFmtId="0">
      <sharedItems containsBlank="1" count="4">
        <s v="E4S"/>
        <s v="ESS"/>
        <s v="ESS "/>
        <m/>
      </sharedItems>
    </cacheField>
    <cacheField name="p.p." numFmtId="1">
      <sharedItems containsString="0" containsBlank="1" containsNumber="1" containsInteger="1" minValue="150" maxValue="78000" count="104">
        <n v="2800"/>
        <n v="25032"/>
        <n v="35100"/>
        <n v="40500"/>
        <n v="900"/>
        <n v="10224"/>
        <n v="2960"/>
        <n v="1017"/>
        <n v="4400"/>
        <n v="7900"/>
        <n v="19800"/>
        <n v="19476"/>
        <n v="12000"/>
        <n v="19764"/>
        <n v="12136"/>
        <n v="12216"/>
        <n v="13471"/>
        <n v="11337"/>
        <n v="45600"/>
        <n v="45690"/>
        <n v="46512"/>
        <n v="1775"/>
        <n v="25168"/>
        <n v="25080"/>
        <n v="3455"/>
        <n v="24800"/>
        <n v="1100"/>
        <n v="18500"/>
        <n v="77000"/>
        <n v="10900"/>
        <n v="2088"/>
        <n v="18300"/>
        <n v="52535"/>
        <n v="3168"/>
        <n v="4500"/>
        <n v="2000"/>
        <n v="5780"/>
        <n v="7800"/>
        <n v="4050"/>
        <n v="1900"/>
        <n v="3600"/>
        <n v="3700"/>
        <n v="2900"/>
        <n v="20000"/>
        <n v="10175"/>
        <n v="1300"/>
        <n v="3300"/>
        <n v="48000"/>
        <n v="28300"/>
        <n v="78000"/>
        <n v="28380"/>
        <n v="2540"/>
        <n v="6120"/>
        <n v="21000"/>
        <n v="2500"/>
        <n v="2216"/>
        <n v="2040"/>
        <n v="15000"/>
        <n v="39000"/>
        <n v="38000"/>
        <n v="3500"/>
        <n v="3120"/>
        <n v="11040"/>
        <n v="42000"/>
        <n v="43000"/>
        <n v="14700"/>
        <n v="1000"/>
        <n v="2300"/>
        <n v="3800"/>
        <n v="5000"/>
        <n v="5200"/>
        <n v="1600"/>
        <n v="10000"/>
        <n v="51000"/>
        <n v="960"/>
        <n v="49800"/>
        <n v="19400"/>
        <n v="10700"/>
        <n v="7200"/>
        <n v="7000"/>
        <n v="3950"/>
        <n v="8690"/>
        <n v="4900"/>
        <n v="3150"/>
        <n v="27070"/>
        <n v="6845"/>
        <n v="38640"/>
        <n v="21300"/>
        <n v="38790"/>
        <n v="150"/>
        <n v="2115"/>
        <n v="6400"/>
        <n v="11136"/>
        <n v="4968"/>
        <n v="15340"/>
        <n v="14000"/>
        <n v="2120"/>
        <n v="5830"/>
        <n v="9310"/>
        <n v="910"/>
        <n v="600"/>
        <n v="3980"/>
        <n v="1720"/>
        <m/>
      </sharedItems>
      <fieldGroup base="3">
        <rangePr autoStart="0" autoEnd="0" startNum="0" endNum="200000" groupInterval="2000"/>
        <groupItems count="102">
          <s v="&lt;0 o (vuoto)"/>
          <s v="0-1999"/>
          <s v="2000-3999"/>
          <s v="4000-5999"/>
          <s v="6000-7999"/>
          <s v="8000-9999"/>
          <s v="10000-11999"/>
          <s v="12000-13999"/>
          <s v="14000-15999"/>
          <s v="16000-17999"/>
          <s v="18000-19999"/>
          <s v="20000-21999"/>
          <s v="22000-23999"/>
          <s v="24000-25999"/>
          <s v="26000-27999"/>
          <s v="28000-29999"/>
          <s v="30000-31999"/>
          <s v="32000-33999"/>
          <s v="34000-35999"/>
          <s v="36000-37999"/>
          <s v="38000-39999"/>
          <s v="40000-41999"/>
          <s v="42000-43999"/>
          <s v="44000-45999"/>
          <s v="46000-47999"/>
          <s v="48000-49999"/>
          <s v="50000-51999"/>
          <s v="52000-53999"/>
          <s v="54000-55999"/>
          <s v="56000-57999"/>
          <s v="58000-59999"/>
          <s v="60000-61999"/>
          <s v="62000-63999"/>
          <s v="64000-65999"/>
          <s v="66000-67999"/>
          <s v="68000-69999"/>
          <s v="70000-71999"/>
          <s v="72000-73999"/>
          <s v="74000-75999"/>
          <s v="76000-77999"/>
          <s v="78000-79999"/>
          <s v="80000-81999"/>
          <s v="82000-83999"/>
          <s v="84000-85999"/>
          <s v="86000-87999"/>
          <s v="88000-89999"/>
          <s v="90000-91999"/>
          <s v="92000-93999"/>
          <s v="94000-95999"/>
          <s v="96000-97999"/>
          <s v="98000-99999"/>
          <s v="100000-101999"/>
          <s v="102000-103999"/>
          <s v="104000-105999"/>
          <s v="106000-107999"/>
          <s v="108000-109999"/>
          <s v="110000-111999"/>
          <s v="112000-113999"/>
          <s v="114000-115999"/>
          <s v="116000-117999"/>
          <s v="118000-119999"/>
          <s v="120000-121999"/>
          <s v="122000-123999"/>
          <s v="124000-125999"/>
          <s v="126000-127999"/>
          <s v="128000-129999"/>
          <s v="130000-131999"/>
          <s v="132000-133999"/>
          <s v="134000-135999"/>
          <s v="136000-137999"/>
          <s v="138000-139999"/>
          <s v="140000-141999"/>
          <s v="142000-143999"/>
          <s v="144000-145999"/>
          <s v="146000-147999"/>
          <s v="148000-149999"/>
          <s v="150000-151999"/>
          <s v="152000-153999"/>
          <s v="154000-155999"/>
          <s v="156000-157999"/>
          <s v="158000-159999"/>
          <s v="160000-161999"/>
          <s v="162000-163999"/>
          <s v="164000-165999"/>
          <s v="166000-167999"/>
          <s v="168000-169999"/>
          <s v="170000-171999"/>
          <s v="172000-173999"/>
          <s v="174000-175999"/>
          <s v="176000-177999"/>
          <s v="178000-179999"/>
          <s v="180000-181999"/>
          <s v="182000-183999"/>
          <s v="184000-185999"/>
          <s v="186000-187999"/>
          <s v="188000-189999"/>
          <s v="190000-191999"/>
          <s v="192000-193999"/>
          <s v="194000-195999"/>
          <s v="196000-197999"/>
          <s v="198000-200000"/>
          <s v="&gt;200000"/>
        </groupItems>
      </fieldGroup>
    </cacheField>
    <cacheField name="L warehouse [m]" numFmtId="0">
      <sharedItems containsString="0" containsBlank="1" containsNumber="1" containsInteger="1" minValue="12" maxValue="247" count="69">
        <n v="75"/>
        <n v="237"/>
        <n v="32"/>
        <n v="79"/>
        <n v="53"/>
        <n v="52"/>
        <n v="51"/>
        <n v="97"/>
        <n v="96"/>
        <n v="77"/>
        <n v="99"/>
        <n v="25"/>
        <n v="76"/>
        <n v="103"/>
        <n v="130"/>
        <n v="60"/>
        <n v="69"/>
        <n v="133"/>
        <n v="27"/>
        <n v="163"/>
        <n v="66"/>
        <n v="65"/>
        <n v="182"/>
        <n v="43"/>
        <n v="41"/>
        <n v="45"/>
        <n v="40"/>
        <n v="34"/>
        <n v="61"/>
        <n v="74"/>
        <n v="29"/>
        <n v="20"/>
        <n v="38"/>
        <n v="44"/>
        <n v="46"/>
        <n v="35"/>
        <n v="116"/>
        <n v="118"/>
        <n v="120"/>
        <n v="58"/>
        <n v="170"/>
        <n v="50"/>
        <n v="70"/>
        <n v="72"/>
        <n v="102"/>
        <n v="78"/>
        <n v="47"/>
        <n v="110"/>
        <n v="55"/>
        <n v="26"/>
        <n v="16"/>
        <n v="12"/>
        <n v="62"/>
        <n v="247"/>
        <n v="185"/>
        <n v="101"/>
        <n v="24"/>
        <n v="85"/>
        <n v="48"/>
        <n v="95"/>
        <n v="84"/>
        <n v="186"/>
        <n v="127"/>
        <n v="90"/>
        <n v="91"/>
        <n v="64"/>
        <n v="81"/>
        <n v="109"/>
        <m/>
      </sharedItems>
      <fieldGroup base="4">
        <rangePr autoStart="0" autoEnd="0" startNum="0" endNum="500" groupInterval="10"/>
        <groupItems count="52">
          <s v="&lt;0 o (vuoto)"/>
          <s v="0-9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170-179"/>
          <s v="180-189"/>
          <s v="190-199"/>
          <s v="200-209"/>
          <s v="210-219"/>
          <s v="220-229"/>
          <s v="230-239"/>
          <s v="240-249"/>
          <s v="250-259"/>
          <s v="260-269"/>
          <s v="270-279"/>
          <s v="280-289"/>
          <s v="290-299"/>
          <s v="300-309"/>
          <s v="310-319"/>
          <s v="320-329"/>
          <s v="330-339"/>
          <s v="340-349"/>
          <s v="350-359"/>
          <s v="360-369"/>
          <s v="370-379"/>
          <s v="380-389"/>
          <s v="390-399"/>
          <s v="400-409"/>
          <s v="410-419"/>
          <s v="420-429"/>
          <s v="430-439"/>
          <s v="440-449"/>
          <s v="450-459"/>
          <s v="460-469"/>
          <s v="470-479"/>
          <s v="480-489"/>
          <s v="490-500"/>
          <s v="&gt;500"/>
        </groupItems>
      </fieldGroup>
    </cacheField>
    <cacheField name="D warehouse [m]" numFmtId="0">
      <sharedItems containsString="0" containsBlank="1" containsNumber="1" containsInteger="1" minValue="8" maxValue="132" count="68">
        <n v="13"/>
        <n v="41"/>
        <n v="58"/>
        <n v="66"/>
        <n v="29"/>
        <n v="43"/>
        <n v="25"/>
        <n v="11"/>
        <n v="23"/>
        <n v="22"/>
        <n v="54"/>
        <n v="65"/>
        <n v="64"/>
        <n v="51"/>
        <n v="59"/>
        <n v="110"/>
        <n v="34"/>
        <n v="69"/>
        <n v="49"/>
        <n v="88"/>
        <n v="90"/>
        <n v="105"/>
        <n v="106"/>
        <n v="20"/>
        <n v="98"/>
        <n v="80"/>
        <n v="50"/>
        <n v="33"/>
        <n v="84"/>
        <n v="39"/>
        <n v="38"/>
        <n v="40"/>
        <n v="24"/>
        <n v="14"/>
        <n v="31"/>
        <n v="27"/>
        <n v="52"/>
        <n v="67"/>
        <n v="26"/>
        <n v="8"/>
        <n v="62"/>
        <n v="95"/>
        <n v="42"/>
        <n v="76"/>
        <n v="130"/>
        <n v="15"/>
        <n v="30"/>
        <n v="16"/>
        <n v="74"/>
        <n v="104"/>
        <n v="103"/>
        <n v="60"/>
        <n v="92"/>
        <n v="36"/>
        <n v="19"/>
        <n v="44"/>
        <n v="45"/>
        <n v="107"/>
        <n v="85"/>
        <n v="56"/>
        <n v="48"/>
        <n v="132"/>
        <n v="128"/>
        <n v="79"/>
        <n v="96"/>
        <n v="61"/>
        <n v="12"/>
        <m/>
      </sharedItems>
      <fieldGroup base="5">
        <rangePr autoEnd="0" startNum="8" endNum="200" groupInterval="10"/>
        <groupItems count="22">
          <s v="(vuoto)"/>
          <s v="8-17"/>
          <s v="18-27"/>
          <s v="28-37"/>
          <s v="38-47"/>
          <s v="48-57"/>
          <s v="58-67"/>
          <s v="68-77"/>
          <s v="78-87"/>
          <s v="88-97"/>
          <s v="98-107"/>
          <s v="108-117"/>
          <s v="118-127"/>
          <s v="128-137"/>
          <s v="138-147"/>
          <s v="148-157"/>
          <s v="158-167"/>
          <s v="168-177"/>
          <s v="178-187"/>
          <s v="188-197"/>
          <s v="198-207"/>
          <s v="&gt;208"/>
        </groupItems>
      </fieldGroup>
    </cacheField>
    <cacheField name="H warehouse [m]" numFmtId="0">
      <sharedItems containsString="0" containsBlank="1" containsNumber="1" minValue="2.5" maxValue="42" count="37">
        <n v="12"/>
        <n v="8"/>
        <n v="11.4"/>
        <n v="10"/>
        <n v="14.3"/>
        <n v="15"/>
        <n v="14"/>
        <n v="12.4"/>
        <n v="22"/>
        <n v="13"/>
        <n v="23"/>
        <n v="6.3"/>
        <n v="9.5"/>
        <n v="5.2"/>
        <n v="20"/>
        <n v="25"/>
        <n v="18"/>
        <n v="16"/>
        <n v="28.8"/>
        <n v="30"/>
        <n v="24"/>
        <n v="42"/>
        <n v="19.8"/>
        <n v="33"/>
        <n v="10.3"/>
        <n v="23.2"/>
        <n v="11"/>
        <n v="7"/>
        <n v="21"/>
        <n v="4"/>
        <n v="6"/>
        <n v="7.5"/>
        <n v="9.1"/>
        <n v="2.5"/>
        <n v="8.5"/>
        <n v="6.8"/>
        <m/>
      </sharedItems>
      <fieldGroup base="6">
        <rangePr autoStart="0" autoEnd="0" startNum="0" endNum="50" groupInterval="5"/>
        <groupItems count="12">
          <s v="&lt;0 o (vuoto)"/>
          <s v="0-5"/>
          <s v="5-10"/>
          <s v="10-15"/>
          <s v="15-20"/>
          <s v="20-25"/>
          <s v="25-30"/>
          <s v="30-35"/>
          <s v="35-40"/>
          <s v="40-45"/>
          <s v="45-50"/>
          <s v="&gt;50"/>
        </groupItems>
      </fieldGroup>
    </cacheField>
    <cacheField name="N° levels" numFmtId="0">
      <sharedItems containsString="0" containsBlank="1" containsNumber="1" containsInteger="1" minValue="1" maxValue="18"/>
    </cacheField>
    <cacheField name="N° aisles" numFmtId="0">
      <sharedItems containsString="0" containsBlank="1" containsNumber="1" containsInteger="1" minValue="1" maxValue="18" count="12">
        <n v="3"/>
        <n v="1"/>
        <n v="2"/>
        <n v="7"/>
        <n v="6"/>
        <n v="5"/>
        <n v="8"/>
        <n v="4"/>
        <n v="9"/>
        <n v="18"/>
        <n v="15"/>
        <m/>
      </sharedItems>
    </cacheField>
    <cacheField name="N° channel" numFmtId="0">
      <sharedItems containsBlank="1" containsMixedTypes="1" containsNumber="1" containsInteger="1" minValue="11" maxValue="150"/>
    </cacheField>
    <cacheField name="Total throughput" numFmtId="0">
      <sharedItems containsString="0" containsBlank="1" containsNumber="1" containsInteger="1" minValue="8" maxValue="978" count="71">
        <n v="66"/>
        <n v="150"/>
        <n v="70"/>
        <n v="40"/>
        <n v="95"/>
        <n v="45"/>
        <n v="132"/>
        <n v="76"/>
        <n v="100"/>
        <n v="270"/>
        <n v="288"/>
        <n v="372"/>
        <n v="192"/>
        <n v="296"/>
        <n v="266"/>
        <n v="290"/>
        <n v="26"/>
        <n v="61"/>
        <n v="80"/>
        <n v="500"/>
        <n v="461"/>
        <n v="190"/>
        <n v="160"/>
        <n v="600"/>
        <n v="126"/>
        <n v="120"/>
        <n v="25"/>
        <n v="608"/>
        <n v="99"/>
        <n v="978"/>
        <n v="60"/>
        <n v="230"/>
        <n v="265"/>
        <n v="410"/>
        <n v="395"/>
        <n v="460"/>
        <n v="78"/>
        <n v="85"/>
        <n v="65"/>
        <n v="72"/>
        <n v="360"/>
        <n v="700"/>
        <n v="52"/>
        <n v="10"/>
        <n v="8"/>
        <n v="12"/>
        <n v="200"/>
        <n v="105"/>
        <n v="152"/>
        <n v="30"/>
        <n v="300"/>
        <n v="46"/>
        <n v="153"/>
        <n v="15"/>
        <n v="19"/>
        <n v="457"/>
        <n v="480"/>
        <n v="92"/>
        <n v="514"/>
        <n v="104"/>
        <n v="236"/>
        <n v="48"/>
        <n v="67"/>
        <n v="134"/>
        <n v="195"/>
        <n v="62"/>
        <n v="87"/>
        <n v="50"/>
        <n v="63"/>
        <n v="216"/>
        <m/>
      </sharedItems>
      <fieldGroup base="10">
        <rangePr autoStart="0" autoEnd="0" startNum="0" endNum="1500" groupInterval="25"/>
        <groupItems count="62">
          <s v="&lt;0 o (vuoto)"/>
          <s v="0-24"/>
          <s v="25-49"/>
          <s v="50-74"/>
          <s v="75-99"/>
          <s v="100-124"/>
          <s v="125-149"/>
          <s v="150-174"/>
          <s v="175-199"/>
          <s v="200-224"/>
          <s v="225-249"/>
          <s v="250-274"/>
          <s v="275-299"/>
          <s v="300-324"/>
          <s v="325-349"/>
          <s v="350-374"/>
          <s v="375-399"/>
          <s v="400-424"/>
          <s v="425-449"/>
          <s v="450-474"/>
          <s v="475-499"/>
          <s v="500-524"/>
          <s v="525-549"/>
          <s v="550-574"/>
          <s v="575-599"/>
          <s v="600-624"/>
          <s v="625-649"/>
          <s v="650-674"/>
          <s v="675-699"/>
          <s v="700-724"/>
          <s v="725-749"/>
          <s v="750-774"/>
          <s v="775-799"/>
          <s v="800-824"/>
          <s v="825-849"/>
          <s v="850-874"/>
          <s v="875-899"/>
          <s v="900-924"/>
          <s v="925-949"/>
          <s v="950-974"/>
          <s v="975-999"/>
          <s v="1000-1024"/>
          <s v="1025-1049"/>
          <s v="1050-1074"/>
          <s v="1075-1099"/>
          <s v="1100-1124"/>
          <s v="1125-1149"/>
          <s v="1150-1174"/>
          <s v="1175-1199"/>
          <s v="1200-1224"/>
          <s v="1225-1249"/>
          <s v="1250-1274"/>
          <s v="1275-1299"/>
          <s v="1300-1324"/>
          <s v="1325-1349"/>
          <s v="1350-1374"/>
          <s v="1375-1399"/>
          <s v="1400-1424"/>
          <s v="1425-1449"/>
          <s v="1450-1474"/>
          <s v="1475-1500"/>
          <s v="&gt;1500"/>
        </groupItems>
      </fieldGroup>
    </cacheField>
    <cacheField name="N° machine" numFmtId="0">
      <sharedItems containsString="0" containsBlank="1" containsNumber="1" containsInteger="1" minValue="1" maxValue="50"/>
    </cacheField>
    <cacheField name="Frozen" numFmtId="0">
      <sharedItems containsBlank="1"/>
    </cacheField>
    <cacheField name="Note" numFmtId="0">
      <sharedItems containsBlank="1"/>
    </cacheField>
    <cacheField name="V warehouse [m3]" numFmtId="1">
      <sharedItems containsSemiMixedTypes="0" containsString="0" containsNumber="1" minValue="0" maxValue="376656" count="125">
        <n v="11700"/>
        <n v="116604"/>
        <n v="164952"/>
        <n v="187704"/>
        <n v="7424"/>
        <n v="38725.800000000003"/>
        <n v="13250"/>
        <n v="5033.6000000000004"/>
        <n v="17940"/>
        <n v="16830"/>
        <n v="73332"/>
        <n v="78182"/>
        <n v="76185.600000000006"/>
        <n v="77376"/>
        <n v="86394"/>
        <n v="72428.400000000009"/>
        <n v="33000"/>
        <n v="31008"/>
        <n v="35750"/>
        <n v="33592"/>
        <n v="24150"/>
        <n v="49028"/>
        <n v="54978"/>
        <n v="263120"/>
        <n v="269100"/>
        <n v="313950"/>
        <n v="4158"/>
        <n v="94185"/>
        <n v="95082"/>
        <n v="15300"/>
        <n v="299782"/>
        <n v="5643"/>
        <n v="34320"/>
        <n v="260800"/>
        <n v="39600"/>
        <n v="12375"/>
        <n v="53625"/>
        <n v="183456"/>
        <n v="15931.5"/>
        <n v="14801"/>
        <n v="17100"/>
        <n v="11520"/>
        <n v="8568"/>
        <n v="23424"/>
        <n v="40848"/>
        <n v="18600"/>
        <n v="10962"/>
        <n v="14560"/>
        <n v="14280"/>
        <n v="133142.39999999999"/>
        <n v="11856"/>
        <n v="42240"/>
        <n v="5152"/>
        <n v="65100"/>
        <n v="150100"/>
        <n v="116928"/>
        <n v="376656"/>
        <n v="120960"/>
        <n v="14355"/>
        <n v="33303.599999999999"/>
        <n v="43200"/>
        <n v="40560"/>
        <n v="272000"/>
        <n v="148500"/>
        <n v="12600"/>
        <n v="12960"/>
        <n v="11760"/>
        <n v="21216"/>
        <n v="78506.600000000006"/>
        <n v="190611.19999999998"/>
        <n v="186388.8"/>
        <n v="16027"/>
        <n v="14700"/>
        <n v="46200"/>
        <n v="203280"/>
        <n v="212520"/>
        <n v="58968"/>
        <n v="2052"/>
        <n v="3608"/>
        <n v="15080"/>
        <n v="34800"/>
        <n v="12400"/>
        <n v="25200"/>
        <n v="26840"/>
        <n v="5200"/>
        <n v="5616"/>
        <n v="18810"/>
        <n v="27900"/>
        <n v="264290"/>
        <n v="3792.6"/>
        <n v="188700"/>
        <n v="75144"/>
        <n v="13920"/>
        <n v="33640"/>
        <n v="37700"/>
        <n v="32480"/>
        <n v="25155"/>
        <n v="44880"/>
        <n v="20064"/>
        <n v="15792"/>
        <n v="108300"/>
        <n v="63504"/>
        <n v="223423.19999999998"/>
        <n v="91440"/>
        <n v="216652.79999999999"/>
        <n v="687.5"/>
        <n v="109440"/>
        <n v="68040"/>
        <n v="70434"/>
        <n v="22200"/>
        <n v="35520"/>
        <n v="60435"/>
        <n v="110592"/>
        <n v="36480"/>
        <n v="72960"/>
        <n v="24369.5"/>
        <n v="14210"/>
        <n v="26676"/>
        <n v="32319"/>
        <n v="3328"/>
        <n v="2496"/>
        <n v="10370"/>
        <n v="7680"/>
        <n v="62784"/>
        <n v="0"/>
      </sharedItems>
      <fieldGroup base="14">
        <rangePr autoStart="0" autoEnd="0" startNum="0" endNum="400000" groupInterval="15000"/>
        <groupItems count="29">
          <s v="&lt;0"/>
          <s v="0-15000"/>
          <s v="15000-30000"/>
          <s v="30000-45000"/>
          <s v="45000-60000"/>
          <s v="60000-75000"/>
          <s v="75000-90000"/>
          <s v="90000-105000"/>
          <s v="105000-120000"/>
          <s v="120000-135000"/>
          <s v="135000-150000"/>
          <s v="150000-165000"/>
          <s v="165000-180000"/>
          <s v="180000-195000"/>
          <s v="195000-210000"/>
          <s v="210000-225000"/>
          <s v="225000-240000"/>
          <s v="240000-255000"/>
          <s v="255000-270000"/>
          <s v="270000-285000"/>
          <s v="285000-300000"/>
          <s v="300000-315000"/>
          <s v="315000-330000"/>
          <s v="330000-345000"/>
          <s v="345000-360000"/>
          <s v="360000-375000"/>
          <s v="375000-390000"/>
          <s v="390000-405000"/>
          <s v="&gt;405000"/>
        </groupItems>
      </fieldGroup>
    </cacheField>
    <cacheField name="A warehouse [m2]" numFmtId="0">
      <sharedItems containsSemiMixedTypes="0" containsString="0" containsNumber="1" containsInteger="1" minValue="0" maxValue="26429" count="117">
        <n v="975"/>
        <n v="9717"/>
        <n v="13746"/>
        <n v="15642"/>
        <n v="928"/>
        <n v="3397"/>
        <n v="1325"/>
        <n v="352"/>
        <n v="1196"/>
        <n v="1122"/>
        <n v="5238"/>
        <n v="6305"/>
        <n v="6144"/>
        <n v="6240"/>
        <n v="3927"/>
        <n v="5841"/>
        <n v="2750"/>
        <n v="2584"/>
        <n v="1725"/>
        <n v="3502"/>
        <n v="2499"/>
        <n v="11440"/>
        <n v="11700"/>
        <n v="13650"/>
        <n v="660"/>
        <n v="7245"/>
        <n v="7314"/>
        <n v="1020"/>
        <n v="13034"/>
        <n v="594"/>
        <n v="6600"/>
        <n v="13040"/>
        <n v="3300"/>
        <n v="825"/>
        <n v="2145"/>
        <n v="15288"/>
        <n v="1677"/>
        <n v="1558"/>
        <n v="1800"/>
        <n v="960"/>
        <n v="476"/>
        <n v="1464"/>
        <n v="1776"/>
        <n v="1860"/>
        <n v="783"/>
        <n v="1040"/>
        <n v="4623"/>
        <n v="988"/>
        <n v="3520"/>
        <n v="368"/>
        <n v="2170"/>
        <n v="7505"/>
        <n v="4872"/>
        <n v="8968"/>
        <n v="5040"/>
        <n v="725"/>
        <n v="1682"/>
        <n v="3600"/>
        <n v="7800"/>
        <n v="13600"/>
        <n v="4500"/>
        <n v="1050"/>
        <n v="1080"/>
        <n v="980"/>
        <n v="1632"/>
        <n v="7622"/>
        <n v="8216"/>
        <n v="8034"/>
        <n v="1457"/>
        <n v="4840"/>
        <n v="5060"/>
        <n v="2808"/>
        <n v="513"/>
        <n v="902"/>
        <n v="754"/>
        <n v="1740"/>
        <n v="1240"/>
        <n v="2520"/>
        <n v="2684"/>
        <n v="400"/>
        <n v="468"/>
        <n v="1710"/>
        <n v="2790"/>
        <n v="26429"/>
        <n v="602"/>
        <n v="15725"/>
        <n v="6060"/>
        <n v="696"/>
        <n v="1885"/>
        <n v="1624"/>
        <n v="3354"/>
        <n v="4080"/>
        <n v="1824"/>
        <n v="1974"/>
        <n v="9025"/>
        <n v="3528"/>
        <n v="24552"/>
        <n v="6096"/>
        <n v="23808"/>
        <n v="275"/>
        <n v="9120"/>
        <n v="3780"/>
        <n v="3913"/>
        <n v="1850"/>
        <n v="2960"/>
        <n v="4029"/>
        <n v="9216"/>
        <n v="3040"/>
        <n v="6080"/>
        <n v="2867"/>
        <n v="1015"/>
        <n v="3402"/>
        <n v="256"/>
        <n v="192"/>
        <n v="1525"/>
        <n v="5232"/>
        <n v="0"/>
      </sharedItems>
      <fieldGroup base="15">
        <rangePr autoStart="0" autoEnd="0" startNum="0" endNum="100000" groupInterval="2000"/>
        <groupItems count="52">
          <s v="&lt;0"/>
          <s v="0-1999"/>
          <s v="2000-3999"/>
          <s v="4000-5999"/>
          <s v="6000-7999"/>
          <s v="8000-9999"/>
          <s v="10000-11999"/>
          <s v="12000-13999"/>
          <s v="14000-15999"/>
          <s v="16000-17999"/>
          <s v="18000-19999"/>
          <s v="20000-21999"/>
          <s v="22000-23999"/>
          <s v="24000-25999"/>
          <s v="26000-27999"/>
          <s v="28000-29999"/>
          <s v="30000-31999"/>
          <s v="32000-33999"/>
          <s v="34000-35999"/>
          <s v="36000-37999"/>
          <s v="38000-39999"/>
          <s v="40000-41999"/>
          <s v="42000-43999"/>
          <s v="44000-45999"/>
          <s v="46000-47999"/>
          <s v="48000-49999"/>
          <s v="50000-51999"/>
          <s v="52000-53999"/>
          <s v="54000-55999"/>
          <s v="56000-57999"/>
          <s v="58000-59999"/>
          <s v="60000-61999"/>
          <s v="62000-63999"/>
          <s v="64000-65999"/>
          <s v="66000-67999"/>
          <s v="68000-69999"/>
          <s v="70000-71999"/>
          <s v="72000-73999"/>
          <s v="74000-75999"/>
          <s v="76000-77999"/>
          <s v="78000-79999"/>
          <s v="80000-81999"/>
          <s v="82000-83999"/>
          <s v="84000-85999"/>
          <s v="86000-87999"/>
          <s v="88000-89999"/>
          <s v="90000-91999"/>
          <s v="92000-93999"/>
          <s v="94000-95999"/>
          <s v="96000-97999"/>
          <s v="98000-100000"/>
          <s v="&gt;100000"/>
        </groupItems>
      </fieldGroup>
    </cacheField>
    <cacheField name="N° machine/level" numFmtId="0">
      <sharedItems containsBlank="1" containsMixedTypes="1" containsNumber="1" containsInteger="1" minValue="1" maxValue="11"/>
    </cacheField>
    <cacheField name="Campo1" numFmtId="0" formula="'N° machine/level'*2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2568-2024"/>
    <s v="PM Group"/>
    <s v="Frigo"/>
    <x v="0"/>
    <n v="2800"/>
    <n v="75"/>
    <x v="0"/>
    <n v="12"/>
    <n v="5"/>
    <n v="3"/>
    <n v="50"/>
    <n v="66"/>
    <n v="5"/>
    <s v="No"/>
    <m/>
  </r>
  <r>
    <s v="36-2025"/>
    <s v="Daifuku US"/>
    <s v="Southwire"/>
    <x v="1"/>
    <n v="25032"/>
    <n v="237"/>
    <x v="1"/>
    <n v="12"/>
    <n v="6"/>
    <n v="1"/>
    <n v="150"/>
    <n v="150"/>
    <n v="6"/>
    <s v="No"/>
    <m/>
  </r>
  <r>
    <s v="36-2025"/>
    <s v="Daifuku US"/>
    <s v="Southwire"/>
    <x v="1"/>
    <n v="35100"/>
    <n v="237"/>
    <x v="2"/>
    <n v="12"/>
    <n v="6"/>
    <n v="2"/>
    <n v="150"/>
    <n v="150"/>
    <n v="12"/>
    <s v="No"/>
    <m/>
  </r>
  <r>
    <s v="36-2025"/>
    <s v="Daifuku US"/>
    <s v="Southwire"/>
    <x v="1"/>
    <n v="40500"/>
    <n v="237"/>
    <x v="3"/>
    <n v="12"/>
    <n v="6"/>
    <n v="2"/>
    <n v="150"/>
    <n v="150"/>
    <n v="12"/>
    <s v="No"/>
    <m/>
  </r>
  <r>
    <s v="45-2025"/>
    <s v="KION ITS DE"/>
    <s v="Westfalia-Spalding"/>
    <x v="0"/>
    <n v="900"/>
    <n v="32"/>
    <x v="4"/>
    <n v="8"/>
    <n v="3"/>
    <n v="2"/>
    <n v="20"/>
    <n v="70"/>
    <n v="4"/>
    <s v="No"/>
    <m/>
  </r>
  <r>
    <s v="XX-2025"/>
    <s v="Dematic NA"/>
    <s v="Riverview_Stevens Milk Plant"/>
    <x v="0"/>
    <n v="10224"/>
    <n v="79"/>
    <x v="5"/>
    <n v="11.4"/>
    <n v="6"/>
    <n v="3"/>
    <n v="58"/>
    <n v="40"/>
    <n v="4"/>
    <s v="No"/>
    <m/>
  </r>
  <r>
    <s v="1780-2024C"/>
    <s v="Viastore ES"/>
    <s v="France ASRS"/>
    <x v="0"/>
    <n v="2960"/>
    <n v="53"/>
    <x v="6"/>
    <n v="10"/>
    <n v="4"/>
    <n v="2"/>
    <n v="34"/>
    <n v="95"/>
    <n v="5"/>
    <s v="No"/>
    <m/>
  </r>
  <r>
    <s v="103-2025"/>
    <s v="Wipro Ferretto IT"/>
    <s v="Magazzino -25°C"/>
    <x v="0"/>
    <n v="1017"/>
    <n v="32"/>
    <x v="7"/>
    <n v="14.3"/>
    <n v="4"/>
    <n v="1"/>
    <n v="19"/>
    <n v="45"/>
    <n v="4"/>
    <s v="Si"/>
    <s v=" (-25° C)"/>
  </r>
  <r>
    <s v="105-2025"/>
    <s v="LCS IT"/>
    <s v="Magazzino automatico LCS"/>
    <x v="1"/>
    <n v="4400"/>
    <n v="51"/>
    <x v="8"/>
    <n v="15"/>
    <n v="9"/>
    <n v="1"/>
    <n v="34"/>
    <n v="132"/>
    <n v="9"/>
    <s v="No"/>
    <m/>
  </r>
  <r>
    <s v="105-2025"/>
    <s v="LCS IT"/>
    <s v="Magazzino automatico LCS"/>
    <x v="0"/>
    <n v="4400"/>
    <n v="51"/>
    <x v="8"/>
    <n v="15"/>
    <n v="9"/>
    <n v="1"/>
    <n v="34"/>
    <n v="132"/>
    <n v="9"/>
    <s v="No"/>
    <m/>
  </r>
  <r>
    <s v="106-2025"/>
    <s v="Linde  IT"/>
    <s v="OCM Packaging"/>
    <x v="0"/>
    <n v="7900"/>
    <n v="97"/>
    <x v="9"/>
    <n v="14"/>
    <n v="5"/>
    <n v="7"/>
    <n v="53"/>
    <n v="76"/>
    <n v="5"/>
    <s v="No"/>
    <m/>
  </r>
  <r>
    <s v="134-2025"/>
    <s v="Linde  DE"/>
    <s v="Bristol Beverage"/>
    <x v="0"/>
    <n v="19800"/>
    <n v="97"/>
    <x v="10"/>
    <n v="12.4"/>
    <n v="6"/>
    <n v="6"/>
    <n v="39"/>
    <n v="100"/>
    <n v="6"/>
    <s v="No"/>
    <m/>
  </r>
  <r>
    <s v="134-2025"/>
    <s v="Linde  DE"/>
    <s v="Bristol Beverage"/>
    <x v="0"/>
    <n v="19800"/>
    <n v="97"/>
    <x v="10"/>
    <n v="12.4"/>
    <n v="6"/>
    <n v="6"/>
    <n v="39"/>
    <n v="150"/>
    <n v="10"/>
    <s v="No"/>
    <m/>
  </r>
  <r>
    <s v="134-2025"/>
    <s v="Linde  DE"/>
    <s v="Bristol Beverage"/>
    <x v="0"/>
    <n v="19476"/>
    <n v="96"/>
    <x v="10"/>
    <n v="12.4"/>
    <n v="6"/>
    <n v="5"/>
    <n v="39"/>
    <n v="100"/>
    <n v="6"/>
    <s v="No"/>
    <m/>
  </r>
  <r>
    <s v="134-2025"/>
    <s v="Linde  DE"/>
    <s v="Bristol Beverage"/>
    <x v="0"/>
    <n v="19476"/>
    <n v="96"/>
    <x v="10"/>
    <n v="12.4"/>
    <n v="6"/>
    <n v="5"/>
    <n v="39"/>
    <n v="150"/>
    <n v="9"/>
    <s v="No"/>
    <m/>
  </r>
  <r>
    <s v="59-2025"/>
    <s v="Toyota BE"/>
    <s v="BiscuiterieThijs"/>
    <x v="0"/>
    <n v="12000"/>
    <n v="77"/>
    <x v="11"/>
    <n v="22"/>
    <n v="9"/>
    <n v="3"/>
    <n v="48"/>
    <n v="270"/>
    <n v="18"/>
    <s v="No"/>
    <m/>
  </r>
  <r>
    <s v="134-2025"/>
    <s v="Linde  DE"/>
    <s v="Bristol Beverage"/>
    <x v="0"/>
    <n v="19764"/>
    <n v="99"/>
    <x v="12"/>
    <n v="12.4"/>
    <n v="6"/>
    <n v="3"/>
    <n v="68"/>
    <n v="100"/>
    <n v="6"/>
    <s v="No"/>
    <m/>
  </r>
  <r>
    <s v="134-2025"/>
    <s v="Linde  DE"/>
    <s v="Bristol Beverage"/>
    <x v="0"/>
    <n v="19764"/>
    <n v="99"/>
    <x v="12"/>
    <n v="12.4"/>
    <n v="6"/>
    <n v="3"/>
    <n v="68"/>
    <n v="150"/>
    <n v="9"/>
    <s v="No"/>
    <m/>
  </r>
  <r>
    <s v="188-2025"/>
    <s v="Still PL"/>
    <s v="Intersnack"/>
    <x v="1"/>
    <n v="12136"/>
    <n v="25"/>
    <x v="13"/>
    <n v="12"/>
    <n v="4"/>
    <n v="3"/>
    <n v="75"/>
    <n v="288"/>
    <n v="12"/>
    <s v="No"/>
    <m/>
  </r>
  <r>
    <s v="188-2025"/>
    <s v="Still PL"/>
    <s v="Intersnack"/>
    <x v="1"/>
    <n v="12136"/>
    <n v="76"/>
    <x v="14"/>
    <n v="12"/>
    <n v="4"/>
    <n v="3"/>
    <n v="49"/>
    <n v="372"/>
    <n v="12"/>
    <s v="No"/>
    <m/>
  </r>
  <r>
    <s v="188-2025"/>
    <s v="Still PL"/>
    <s v="Intersnack"/>
    <x v="1"/>
    <n v="12216"/>
    <n v="25"/>
    <x v="13"/>
    <n v="13"/>
    <n v="5"/>
    <n v="3"/>
    <n v="75"/>
    <n v="288"/>
    <n v="12"/>
    <s v="No"/>
    <m/>
  </r>
  <r>
    <s v="188-2025"/>
    <s v="Still PL"/>
    <s v="Intersnack"/>
    <x v="1"/>
    <n v="12216"/>
    <n v="76"/>
    <x v="14"/>
    <n v="13"/>
    <n v="5"/>
    <n v="2"/>
    <n v="49"/>
    <n v="192"/>
    <n v="8"/>
    <s v="No"/>
    <m/>
  </r>
  <r>
    <s v="188-2025"/>
    <s v="Still PL"/>
    <s v="Intersnack"/>
    <x v="1"/>
    <n v="13471"/>
    <n v="25"/>
    <x v="15"/>
    <n v="14"/>
    <n v="6"/>
    <n v="2"/>
    <n v="46"/>
    <n v="192"/>
    <n v="8"/>
    <s v="No"/>
    <m/>
  </r>
  <r>
    <s v="188-2025"/>
    <s v="Still PL"/>
    <s v="Intersnack"/>
    <x v="1"/>
    <n v="13471"/>
    <n v="103"/>
    <x v="14"/>
    <n v="14"/>
    <n v="6"/>
    <n v="3"/>
    <n v="68"/>
    <n v="296"/>
    <n v="12"/>
    <s v="No"/>
    <m/>
  </r>
  <r>
    <s v="189-2025"/>
    <s v="Savoye UAE"/>
    <s v="Water Bottle"/>
    <x v="0"/>
    <n v="11337"/>
    <n v="51"/>
    <x v="16"/>
    <n v="22"/>
    <n v="9"/>
    <n v="5"/>
    <n v="35"/>
    <n v="266"/>
    <n v="15"/>
    <s v="No"/>
    <m/>
  </r>
  <r>
    <s v="212-2025"/>
    <s v="Bastian US"/>
    <s v="Test_1"/>
    <x v="1"/>
    <n v="45600"/>
    <n v="130"/>
    <x v="17"/>
    <n v="23"/>
    <n v="7"/>
    <n v="2"/>
    <n v="104"/>
    <n v="290"/>
    <n v="14"/>
    <s v="Si"/>
    <s v="(-26°C)"/>
  </r>
  <r>
    <s v="212-2025"/>
    <s v="Bastian US"/>
    <s v="Test_1"/>
    <x v="1"/>
    <n v="45690"/>
    <n v="130"/>
    <x v="18"/>
    <n v="23"/>
    <n v="7"/>
    <n v="3"/>
    <n v="102"/>
    <n v="290"/>
    <n v="21"/>
    <s v="Si"/>
    <s v="(-26°C)"/>
  </r>
  <r>
    <s v="212-2025"/>
    <s v="Bastian US"/>
    <s v="Test_1"/>
    <x v="1"/>
    <n v="46512"/>
    <n v="130"/>
    <x v="19"/>
    <n v="23"/>
    <n v="6"/>
    <n v="3"/>
    <n v="102"/>
    <n v="290"/>
    <n v="18"/>
    <s v="Si"/>
    <s v="(-26°C)"/>
  </r>
  <r>
    <s v="221-2025"/>
    <s v="Fortna UK"/>
    <s v="Bronderslev"/>
    <x v="0"/>
    <n v="1775"/>
    <n v="60"/>
    <x v="7"/>
    <n v="6.3"/>
    <n v="5"/>
    <n v="2"/>
    <n v="41"/>
    <n v="26"/>
    <n v="4"/>
    <s v="No"/>
    <m/>
  </r>
  <r>
    <s v="213-2025"/>
    <s v="Bastian US"/>
    <s v="Test_2"/>
    <x v="0"/>
    <n v="25168"/>
    <n v="69"/>
    <x v="19"/>
    <n v="13"/>
    <n v="7"/>
    <n v="7"/>
    <n v="52"/>
    <n v="61"/>
    <n v="6"/>
    <s v="No"/>
    <m/>
  </r>
  <r>
    <s v="213-2025"/>
    <s v="Bastian US"/>
    <s v="Test_2"/>
    <x v="0"/>
    <n v="25080"/>
    <n v="69"/>
    <x v="20"/>
    <n v="13"/>
    <n v="7"/>
    <n v="6"/>
    <n v="80"/>
    <n v="61"/>
    <n v="8"/>
    <s v="No"/>
    <m/>
  </r>
  <r>
    <s v="240-2025"/>
    <s v="LCS IT"/>
    <s v="Magazzino automatico LCS"/>
    <x v="0"/>
    <n v="3455"/>
    <n v="51"/>
    <x v="8"/>
    <n v="15"/>
    <n v="9"/>
    <n v="3"/>
    <n v="33"/>
    <n v="132"/>
    <n v="9"/>
    <s v="No"/>
    <m/>
  </r>
  <r>
    <s v="212-2025"/>
    <s v="Bastian US"/>
    <s v="Test_1"/>
    <x v="0"/>
    <n v="24800"/>
    <n v="133"/>
    <x v="21"/>
    <n v="23"/>
    <n v="7"/>
    <n v="7"/>
    <n v="98"/>
    <n v="290"/>
    <n v="21"/>
    <s v="Si"/>
    <s v="(-26°C)"/>
  </r>
  <r>
    <s v="164-2025"/>
    <s v="Still SR"/>
    <s v="Lear Bratislava"/>
    <x v="1"/>
    <n v="1100"/>
    <n v="27"/>
    <x v="8"/>
    <n v="9.5"/>
    <n v="6"/>
    <n v="1"/>
    <n v="11"/>
    <n v="80"/>
    <n v="6"/>
    <s v="No"/>
    <m/>
  </r>
  <r>
    <s v="260-2025"/>
    <s v="TGW Gmbh"/>
    <s v="Test_1"/>
    <x v="1"/>
    <n v="18500"/>
    <n v="60"/>
    <x v="13"/>
    <n v="5.2"/>
    <n v="2"/>
    <n v="8"/>
    <n v="85"/>
    <n v="500"/>
    <n v="16"/>
    <s v="No"/>
    <m/>
  </r>
  <r>
    <s v="262-2025"/>
    <s v="TGW Gmbh"/>
    <s v="Test_2"/>
    <x v="1"/>
    <n v="77000"/>
    <n v="163"/>
    <x v="22"/>
    <n v="20"/>
    <n v="8"/>
    <n v="3"/>
    <n v="112"/>
    <n v="461"/>
    <n v="24"/>
    <s v="No"/>
    <m/>
  </r>
  <r>
    <s v="272-2025"/>
    <s v="MINDA"/>
    <s v="Sao Paolo"/>
    <x v="1"/>
    <n v="10900"/>
    <n v="66"/>
    <x v="23"/>
    <n v="12"/>
    <n v="6"/>
    <n v="2"/>
    <n v="35"/>
    <n v="190"/>
    <n v="12"/>
    <s v="No"/>
    <m/>
  </r>
  <r>
    <s v="305-2025"/>
    <s v="Still PL"/>
    <s v="Beiersdorf"/>
    <x v="1"/>
    <n v="2088"/>
    <n v="25"/>
    <x v="24"/>
    <n v="15"/>
    <n v="6"/>
    <n v="2"/>
    <n v="12"/>
    <n v="160"/>
    <n v="6"/>
    <s v="No"/>
    <m/>
  </r>
  <r>
    <s v="xxx-2025"/>
    <s v="KION/Still/Linde BE"/>
    <s v="Groningen"/>
    <x v="0"/>
    <n v="18300"/>
    <n v="65"/>
    <x v="24"/>
    <n v="25"/>
    <n v="15"/>
    <n v="2"/>
    <n v="45"/>
    <n v="150"/>
    <n v="12"/>
    <s v="No"/>
    <m/>
  </r>
  <r>
    <s v="302-2025"/>
    <s v="Still CZ"/>
    <s v="HOPI Logistics"/>
    <x v="1"/>
    <n v="52535"/>
    <n v="182"/>
    <x v="25"/>
    <n v="12"/>
    <n v="5"/>
    <n v="5"/>
    <n v="127"/>
    <n v="600"/>
    <n v="25"/>
    <s v="No"/>
    <m/>
  </r>
  <r>
    <s v="2126-2024B"/>
    <s v="CLS"/>
    <s v="OLVAN"/>
    <x v="0"/>
    <n v="3168"/>
    <n v="42"/>
    <x v="26"/>
    <n v="9.5"/>
    <n v="6"/>
    <n v="2"/>
    <n v="18"/>
    <n v="100"/>
    <n v="5"/>
    <s v="No"/>
    <m/>
  </r>
  <r>
    <s v="2126-2024B"/>
    <s v="CLS"/>
    <s v="OLVAN"/>
    <x v="0"/>
    <n v="3168"/>
    <n v="42"/>
    <x v="26"/>
    <n v="9.5"/>
    <n v="6"/>
    <n v="2"/>
    <n v="18"/>
    <n v="100"/>
    <n v="6"/>
    <s v="No"/>
    <m/>
  </r>
  <r>
    <s v="2126-2024B"/>
    <s v="CLS"/>
    <s v="OLVAN"/>
    <x v="0"/>
    <n v="3168"/>
    <n v="42"/>
    <x v="26"/>
    <n v="9.5"/>
    <n v="6"/>
    <n v="2"/>
    <n v="18"/>
    <n v="100"/>
    <n v="7"/>
    <s v="No"/>
    <m/>
  </r>
  <r>
    <s v="340-2025"/>
    <s v="Viastore ES"/>
    <s v="Puig France"/>
    <x v="1"/>
    <n v="4500"/>
    <n v="40"/>
    <x v="27"/>
    <n v="12"/>
    <n v="4"/>
    <n v="2"/>
    <n v="27"/>
    <n v="126"/>
    <n v="6"/>
    <s v="No"/>
    <m/>
  </r>
  <r>
    <s v="340-2025"/>
    <s v="Viastore ES"/>
    <s v="Puig France"/>
    <x v="1"/>
    <n v="4500"/>
    <n v="40"/>
    <x v="27"/>
    <n v="12"/>
    <n v="7"/>
    <n v="2"/>
    <n v="27"/>
    <n v="126"/>
    <n v="7"/>
    <s v="No"/>
    <m/>
  </r>
  <r>
    <s v="329-2025"/>
    <s v="Dematic ES"/>
    <s v="Tenerife"/>
    <x v="1"/>
    <n v="2000"/>
    <n v="34"/>
    <x v="28"/>
    <n v="18"/>
    <n v="7"/>
    <n v="1"/>
    <n v="19"/>
    <n v="120"/>
    <n v="7"/>
    <s v="No"/>
    <m/>
  </r>
  <r>
    <s v="174-2025"/>
    <s v="LCS IT"/>
    <s v="Napoli"/>
    <x v="0"/>
    <n v="5780"/>
    <n v="61"/>
    <x v="27"/>
    <n v="16"/>
    <n v="8"/>
    <n v="2"/>
    <n v="39"/>
    <n v="25"/>
    <n v="4"/>
    <s v="No"/>
    <m/>
  </r>
  <r>
    <s v="348-2025"/>
    <s v="Viastore FR"/>
    <s v="Project  241624"/>
    <x v="1"/>
    <n v="7800"/>
    <n v="74"/>
    <x v="27"/>
    <n v="23"/>
    <n v="8"/>
    <n v="2"/>
    <n v="45"/>
    <n v="608"/>
    <n v="16"/>
    <s v="No"/>
    <m/>
  </r>
  <r>
    <s v="xxx-2025"/>
    <s v="Linde Gmbh "/>
    <s v="Greece_Zodiac"/>
    <x v="0"/>
    <n v="4050"/>
    <n v="60"/>
    <x v="29"/>
    <n v="10"/>
    <n v="4"/>
    <n v="3"/>
    <n v="21"/>
    <n v="160"/>
    <n v="10"/>
    <s v="No"/>
    <m/>
  </r>
  <r>
    <s v="2525-2024"/>
    <s v="Cassioli"/>
    <s v="Bakery"/>
    <x v="0"/>
    <n v="1900"/>
    <n v="29"/>
    <x v="30"/>
    <n v="14"/>
    <n v="5"/>
    <n v="2"/>
    <n v="19"/>
    <n v="99"/>
    <n v="6"/>
    <s v="Si"/>
    <s v="(-25°C)"/>
  </r>
  <r>
    <s v="362-2025"/>
    <s v="INCAS - SSI Schaefer"/>
    <s v="Bolzano"/>
    <x v="0"/>
    <n v="3600"/>
    <n v="20"/>
    <x v="31"/>
    <n v="14"/>
    <n v="6"/>
    <n v="2"/>
    <n v="35"/>
    <n v="40"/>
    <n v="4"/>
    <s v="No"/>
    <m/>
  </r>
  <r>
    <s v="362-2026"/>
    <s v="INCAS - SSI Schaefer"/>
    <s v="Bolzano"/>
    <x v="0"/>
    <n v="2800"/>
    <n v="20"/>
    <x v="31"/>
    <n v="14"/>
    <n v="6"/>
    <n v="2"/>
    <n v="35"/>
    <n v="40"/>
    <n v="5"/>
    <s v="No"/>
    <m/>
  </r>
  <r>
    <s v="362-2027"/>
    <s v="INCAS - SSI Schaefer"/>
    <s v="Bolzano"/>
    <x v="1"/>
    <n v="3700"/>
    <n v="20"/>
    <x v="11"/>
    <n v="14"/>
    <n v="6"/>
    <n v="1"/>
    <n v="33"/>
    <n v="40"/>
    <n v="6"/>
    <s v="No"/>
    <m/>
  </r>
  <r>
    <s v="362-2028"/>
    <s v="INCAS - SSI Schaefer"/>
    <s v="Bolzano"/>
    <x v="1"/>
    <n v="2900"/>
    <n v="20"/>
    <x v="11"/>
    <n v="14"/>
    <n v="6"/>
    <n v="1"/>
    <n v="33"/>
    <n v="40"/>
    <n v="6"/>
    <s v="No"/>
    <m/>
  </r>
  <r>
    <s v="385-2025"/>
    <s v="Viastore ES"/>
    <s v="Netherlands Fruits"/>
    <x v="1"/>
    <n v="20000"/>
    <n v="69"/>
    <x v="32"/>
    <n v="28.8"/>
    <n v="9"/>
    <n v="4"/>
    <n v="39"/>
    <n v="978"/>
    <n v="36"/>
    <s v="No"/>
    <m/>
  </r>
  <r>
    <s v="340-2025"/>
    <s v="Viastore ES"/>
    <s v="Puig France"/>
    <x v="0"/>
    <n v="4500"/>
    <n v="38"/>
    <x v="33"/>
    <n v="12"/>
    <n v="7"/>
    <n v="3"/>
    <n v="24"/>
    <n v="126"/>
    <n v="7"/>
    <s v="No"/>
    <m/>
  </r>
  <r>
    <s v="349-2025"/>
    <s v="Dematic NA"/>
    <s v="Riverview"/>
    <x v="1"/>
    <n v="10175"/>
    <n v="44"/>
    <x v="22"/>
    <n v="12"/>
    <n v="6"/>
    <n v="1"/>
    <n v="60"/>
    <n v="60"/>
    <n v="6"/>
    <s v="No"/>
    <m/>
  </r>
  <r>
    <s v="402-2025"/>
    <s v="FB Industry AT"/>
    <s v="Oberburg"/>
    <x v="1"/>
    <n v="1300"/>
    <n v="46"/>
    <x v="34"/>
    <n v="14"/>
    <n v="6"/>
    <n v="1"/>
    <n v="28"/>
    <n v="230"/>
    <n v="6"/>
    <s v="No"/>
    <m/>
  </r>
  <r>
    <s v="428-2025"/>
    <s v="Dematic NA"/>
    <s v="STO Corp"/>
    <x v="1"/>
    <n v="3300"/>
    <n v="35"/>
    <x v="35"/>
    <n v="30"/>
    <n v="4"/>
    <n v="1"/>
    <n v="42"/>
    <n v="26"/>
    <n v="4"/>
    <s v="No"/>
    <m/>
  </r>
  <r>
    <s v="59-2025"/>
    <s v="Viastore ES"/>
    <s v="BiscuiterieThijs"/>
    <x v="1"/>
    <n v="12000"/>
    <n v="77"/>
    <x v="11"/>
    <n v="22"/>
    <n v="8"/>
    <n v="1"/>
    <n v="48"/>
    <n v="265"/>
    <n v="8"/>
    <s v="No"/>
    <m/>
  </r>
  <r>
    <s v="399-2025"/>
    <s v="Guven TR"/>
    <s v="Corobo Project"/>
    <x v="1"/>
    <n v="48000"/>
    <n v="79"/>
    <x v="36"/>
    <n v="20"/>
    <n v="10"/>
    <n v="3"/>
    <n v="70"/>
    <n v="410"/>
    <n v="30"/>
    <s v="No"/>
    <m/>
  </r>
  <r>
    <s v="xxx-2025"/>
    <s v="KION ITS"/>
    <s v="IMP-TOLE"/>
    <x v="1"/>
    <n v="28300"/>
    <n v="116"/>
    <x v="37"/>
    <n v="24"/>
    <n v="10"/>
    <n v="1"/>
    <n v="75"/>
    <n v="395"/>
    <n v="20"/>
    <s v="No"/>
    <m/>
  </r>
  <r>
    <s v="430-2025"/>
    <s v="SSI-Schaefer"/>
    <s v="Honeylog 2"/>
    <x v="0"/>
    <n v="78000"/>
    <n v="118"/>
    <x v="38"/>
    <n v="42"/>
    <n v="17"/>
    <n v="4"/>
    <n v="69"/>
    <n v="460"/>
    <n v="34"/>
    <s v="No"/>
    <m/>
  </r>
  <r>
    <s v="428-2025"/>
    <s v="Still DE"/>
    <s v="IMP-TOLE"/>
    <x v="1"/>
    <n v="28380"/>
    <n v="120"/>
    <x v="37"/>
    <n v="24"/>
    <n v="10"/>
    <n v="1"/>
    <n v="75"/>
    <n v="395"/>
    <n v="10"/>
    <s v="No"/>
    <m/>
  </r>
  <r>
    <s v="453-2025"/>
    <s v="Bastian US"/>
    <s v="Strathroy"/>
    <x v="0"/>
    <n v="2540"/>
    <n v="25"/>
    <x v="4"/>
    <n v="19.8"/>
    <n v="6"/>
    <n v="2"/>
    <n v="16"/>
    <n v="78"/>
    <n v="5"/>
    <s v="No"/>
    <m/>
  </r>
  <r>
    <s v="454-2025"/>
    <s v="Bastian US"/>
    <s v="Strathroy"/>
    <x v="0"/>
    <n v="6120"/>
    <n v="58"/>
    <x v="4"/>
    <n v="19.8"/>
    <n v="6"/>
    <n v="2"/>
    <n v="38"/>
    <n v="85"/>
    <n v="6"/>
    <s v="No"/>
    <m/>
  </r>
  <r>
    <s v="349-2025A"/>
    <s v="Dematic NA"/>
    <s v="Riverview"/>
    <x v="1"/>
    <n v="10175"/>
    <n v="45"/>
    <x v="22"/>
    <n v="12"/>
    <n v="5"/>
    <n v="1"/>
    <s v="55-60"/>
    <n v="65"/>
    <n v="5"/>
    <s v="No"/>
    <m/>
  </r>
  <r>
    <s v="260-2025A"/>
    <s v="TGW Gmbh"/>
    <s v="Test_1"/>
    <x v="1"/>
    <n v="18500"/>
    <n v="60"/>
    <x v="39"/>
    <n v="5.2"/>
    <n v="2"/>
    <n v="9"/>
    <n v="85"/>
    <n v="500"/>
    <n v="18"/>
    <s v="No"/>
    <m/>
  </r>
  <r>
    <s v="262-2025A"/>
    <s v="TGW Gmbh"/>
    <s v="Test_2"/>
    <x v="1"/>
    <n v="77000"/>
    <n v="170"/>
    <x v="22"/>
    <n v="20"/>
    <n v="8"/>
    <n v="3"/>
    <n v="120"/>
    <n v="461"/>
    <n v="24"/>
    <s v="No"/>
    <m/>
  </r>
  <r>
    <s v="434-2025"/>
    <s v="Linde Al Fuittam EAU"/>
    <s v="Ahmad Tea"/>
    <x v="0"/>
    <n v="21000"/>
    <n v="50"/>
    <x v="18"/>
    <n v="33"/>
    <n v="10"/>
    <n v="3"/>
    <n v="52"/>
    <n v="72"/>
    <n v="8"/>
    <s v="No"/>
    <m/>
  </r>
  <r>
    <s v="2497-2024A"/>
    <s v="Still PL"/>
    <s v="United Petfood"/>
    <x v="0"/>
    <n v="2500"/>
    <n v="70"/>
    <x v="40"/>
    <n v="12"/>
    <n v="5"/>
    <n v="1"/>
    <n v="42"/>
    <n v="72"/>
    <n v="5"/>
    <s v="No"/>
    <m/>
  </r>
  <r>
    <s v="2497-2024A"/>
    <s v="Still PL"/>
    <s v="United Petfood"/>
    <x v="0"/>
    <n v="2500"/>
    <n v="70"/>
    <x v="40"/>
    <n v="12"/>
    <n v="5"/>
    <n v="2"/>
    <n v="42"/>
    <n v="120"/>
    <n v="6"/>
    <s v="No"/>
    <m/>
  </r>
  <r>
    <s v="2497-2024A"/>
    <s v="Still PL"/>
    <s v="United Petfood"/>
    <x v="1"/>
    <n v="2500"/>
    <n v="70"/>
    <x v="40"/>
    <n v="12"/>
    <n v="5"/>
    <n v="1"/>
    <n v="42"/>
    <n v="72"/>
    <n v="5"/>
    <s v="No"/>
    <m/>
  </r>
  <r>
    <s v="2497-2024A"/>
    <s v="Still PL"/>
    <s v="United Petfood"/>
    <x v="1"/>
    <n v="2500"/>
    <n v="70"/>
    <x v="40"/>
    <n v="12"/>
    <n v="5"/>
    <n v="1"/>
    <n v="42"/>
    <n v="120"/>
    <n v="5"/>
    <s v="No"/>
    <m/>
  </r>
  <r>
    <s v="184-2025A"/>
    <s v="Cassioli IT"/>
    <s v="Bakery"/>
    <x v="0"/>
    <n v="2216"/>
    <n v="34"/>
    <x v="41"/>
    <n v="14"/>
    <n v="5"/>
    <n v="3"/>
    <n v="19"/>
    <n v="99"/>
    <n v="6"/>
    <s v="Si"/>
    <s v="(-25°C)"/>
  </r>
  <r>
    <s v="532-2025"/>
    <s v="TGW Gmbh"/>
    <s v="Neuenburg am Rhein"/>
    <x v="1"/>
    <n v="2040"/>
    <n v="102"/>
    <x v="42"/>
    <n v="13"/>
    <n v="3"/>
    <n v="2"/>
    <n v="60"/>
    <n v="360"/>
    <n v="12"/>
    <s v="No"/>
    <m/>
  </r>
  <r>
    <s v="542-2025"/>
    <s v="Dematic NA"/>
    <s v="Dense Storage"/>
    <x v="1"/>
    <n v="15000"/>
    <n v="103"/>
    <x v="43"/>
    <n v="10.3"/>
    <n v="5"/>
    <n v="1"/>
    <n v="63"/>
    <n v="160"/>
    <n v="5"/>
    <s v="No"/>
    <m/>
  </r>
  <r>
    <s v="521-2025"/>
    <s v="Dematic DE"/>
    <s v="Ashkelon"/>
    <x v="2"/>
    <n v="39000"/>
    <n v="79"/>
    <x v="44"/>
    <n v="23.2"/>
    <n v="10"/>
    <n v="2"/>
    <n v="64"/>
    <n v="700"/>
    <n v="20"/>
    <s v="No"/>
    <s v="V"/>
  </r>
  <r>
    <s v="521-2025"/>
    <s v="Dematic DE"/>
    <s v="Ashkelon"/>
    <x v="0"/>
    <n v="38000"/>
    <n v="78"/>
    <x v="45"/>
    <n v="23.2"/>
    <n v="10"/>
    <n v="3"/>
    <n v="62"/>
    <n v="700"/>
    <n v="44"/>
    <s v="No"/>
    <s v="V"/>
  </r>
  <r>
    <s v="481-2025"/>
    <s v="Aiut PL"/>
    <s v="Shuttle Warehouse"/>
    <x v="0"/>
    <n v="3500"/>
    <n v="47"/>
    <x v="29"/>
    <n v="11"/>
    <n v="7"/>
    <n v="2"/>
    <n v="24"/>
    <n v="52"/>
    <n v="3"/>
    <s v="No"/>
    <m/>
  </r>
  <r>
    <s v="481-2025"/>
    <s v="Aiut PL"/>
    <s v="Shuttle Warehouse"/>
    <x v="0"/>
    <n v="3500"/>
    <n v="47"/>
    <x v="29"/>
    <n v="11"/>
    <n v="7"/>
    <n v="2"/>
    <n v="24"/>
    <n v="10"/>
    <n v="1"/>
    <s v="No"/>
    <s v="TH"/>
  </r>
  <r>
    <s v="481-2025"/>
    <s v="Aiut PL"/>
    <s v="Shuttle Warehouse"/>
    <x v="0"/>
    <n v="3500"/>
    <n v="47"/>
    <x v="29"/>
    <n v="11"/>
    <n v="7"/>
    <n v="2"/>
    <n v="24"/>
    <n v="8"/>
    <n v="1"/>
    <s v="No"/>
    <m/>
  </r>
  <r>
    <s v="481-2025"/>
    <s v="Aiut PL"/>
    <s v="Shuttle Warehouse"/>
    <x v="0"/>
    <n v="3500"/>
    <n v="47"/>
    <x v="29"/>
    <n v="11"/>
    <n v="7"/>
    <n v="2"/>
    <n v="24"/>
    <n v="8"/>
    <n v="1"/>
    <s v="No"/>
    <s v="TH"/>
  </r>
  <r>
    <s v="481-2025"/>
    <s v="Aiut PL"/>
    <s v="Shuttle Warehouse"/>
    <x v="0"/>
    <n v="3500"/>
    <n v="47"/>
    <x v="29"/>
    <n v="11"/>
    <n v="7"/>
    <n v="2"/>
    <n v="24"/>
    <n v="12"/>
    <n v="1"/>
    <s v="No"/>
    <m/>
  </r>
  <r>
    <s v="477-2025"/>
    <s v="Still CZ"/>
    <s v="Cosmonde RGQ"/>
    <x v="0"/>
    <n v="3120"/>
    <n v="35"/>
    <x v="41"/>
    <n v="14"/>
    <n v="7"/>
    <n v="2"/>
    <n v="21"/>
    <n v="80"/>
    <n v="5"/>
    <s v="No"/>
    <m/>
  </r>
  <r>
    <s v="59-2025C"/>
    <s v="Viastore ES"/>
    <s v="BiscuiterieThijs"/>
    <x v="1"/>
    <n v="12000"/>
    <n v="77"/>
    <x v="11"/>
    <n v="22"/>
    <n v="8"/>
    <n v="1"/>
    <n v="48"/>
    <n v="265"/>
    <n v="10"/>
    <s v="No"/>
    <m/>
  </r>
  <r>
    <s v="574-2025"/>
    <s v="Viastore ES"/>
    <s v="Barcelona"/>
    <x v="0"/>
    <n v="11040"/>
    <n v="110"/>
    <x v="46"/>
    <n v="7"/>
    <n v="4"/>
    <n v="5"/>
    <n v="69"/>
    <n v="100"/>
    <n v="12"/>
    <s v="No"/>
    <s v="NW"/>
  </r>
  <r>
    <s v="521-2025A"/>
    <s v="Dematic DE"/>
    <s v="Ashkelon"/>
    <x v="1"/>
    <n v="42000"/>
    <n v="55"/>
    <x v="17"/>
    <n v="42"/>
    <n v="18"/>
    <n v="1"/>
    <n v="56"/>
    <n v="700"/>
    <n v="18"/>
    <s v="No"/>
    <s v="V"/>
  </r>
  <r>
    <s v="521-2025A"/>
    <s v="Dematic DE"/>
    <s v="Ashkelon"/>
    <x v="0"/>
    <n v="43000"/>
    <n v="55"/>
    <x v="47"/>
    <n v="42"/>
    <n v="18"/>
    <n v="3"/>
    <n v="57"/>
    <n v="700"/>
    <n v="40"/>
    <s v="No"/>
    <s v="V"/>
  </r>
  <r>
    <s v="592-2025"/>
    <s v="Dematic FR"/>
    <s v="ROM"/>
    <x v="1"/>
    <n v="14700"/>
    <n v="78"/>
    <x v="48"/>
    <n v="21"/>
    <n v="9"/>
    <n v="3"/>
    <n v="53"/>
    <n v="700"/>
    <n v="27"/>
    <s v="No"/>
    <s v="F"/>
  </r>
  <r>
    <s v="570-2025"/>
    <s v="Still IT"/>
    <s v="Vodafone"/>
    <x v="0"/>
    <n v="1000"/>
    <n v="27"/>
    <x v="49"/>
    <n v="4"/>
    <n v="3"/>
    <n v="2"/>
    <n v="14"/>
    <n v="40"/>
    <n v="3"/>
    <s v="No"/>
    <m/>
  </r>
  <r>
    <s v="570-2025"/>
    <s v="Still IT"/>
    <s v="Vodafone"/>
    <x v="0"/>
    <n v="1000"/>
    <n v="41"/>
    <x v="8"/>
    <n v="4"/>
    <n v="3"/>
    <n v="2"/>
    <n v="24"/>
    <n v="40"/>
    <n v="3"/>
    <s v="No"/>
    <m/>
  </r>
  <r>
    <s v="453-2025"/>
    <s v="Bastian US"/>
    <s v="Strathroy"/>
    <x v="0"/>
    <n v="2300"/>
    <n v="25"/>
    <x v="4"/>
    <n v="20"/>
    <n v="7"/>
    <n v="2"/>
    <n v="16"/>
    <n v="120"/>
    <n v="7"/>
    <s v="No"/>
    <m/>
  </r>
  <r>
    <s v="454-2025"/>
    <s v="Bastian US"/>
    <s v="Strathroy"/>
    <x v="0"/>
    <n v="3800"/>
    <n v="58"/>
    <x v="4"/>
    <n v="20"/>
    <n v="6"/>
    <n v="2"/>
    <n v="38"/>
    <n v="100"/>
    <n v="7"/>
    <s v="No"/>
    <s v="V"/>
  </r>
  <r>
    <s v="571-2025"/>
    <s v="Still IT"/>
    <s v="Pomus"/>
    <x v="1"/>
    <n v="1000"/>
    <n v="40"/>
    <x v="29"/>
    <n v="10"/>
    <n v="3"/>
    <n v="1"/>
    <n v="25"/>
    <n v="200"/>
    <n v="3"/>
    <s v="No"/>
    <s v="F"/>
  </r>
  <r>
    <s v="606-2025"/>
    <s v="Production Reality AU"/>
    <s v="Freezer ASRS"/>
    <x v="0"/>
    <n v="5000"/>
    <n v="60"/>
    <x v="5"/>
    <n v="10"/>
    <n v="5"/>
    <n v="2"/>
    <n v="42"/>
    <n v="105"/>
    <n v="5"/>
    <s v="Si"/>
    <s v="(-20°C)"/>
  </r>
  <r>
    <s v="606-2025"/>
    <s v="Production Reality AU"/>
    <s v="Freezer ASRS"/>
    <x v="0"/>
    <n v="5200"/>
    <n v="60"/>
    <x v="5"/>
    <n v="10"/>
    <n v="5"/>
    <n v="4"/>
    <n v="40"/>
    <n v="105"/>
    <n v="9"/>
    <s v="Si"/>
    <s v="(-20°C)"/>
  </r>
  <r>
    <s v="574-2025"/>
    <s v="Viastore ES"/>
    <s v="Barcelona"/>
    <x v="0"/>
    <n v="5200"/>
    <n v="110"/>
    <x v="46"/>
    <n v="6"/>
    <n v="4"/>
    <n v="6"/>
    <n v="70"/>
    <n v="152"/>
    <n v="18"/>
    <s v="Si"/>
    <s v="NW"/>
  </r>
  <r>
    <s v="548-2025"/>
    <s v="Cainam TWN"/>
    <s v="Toying Depot"/>
    <x v="0"/>
    <n v="1600"/>
    <n v="16"/>
    <x v="6"/>
    <n v="13"/>
    <n v="9"/>
    <n v="1"/>
    <n v="13"/>
    <n v="30"/>
    <n v="4"/>
    <s v="No"/>
    <s v="TH"/>
  </r>
  <r>
    <s v="549-2025"/>
    <s v="Cainam TWN"/>
    <s v="Yen Chow"/>
    <x v="0"/>
    <n v="2300"/>
    <n v="12"/>
    <x v="50"/>
    <n v="12"/>
    <n v="11"/>
    <n v="1"/>
    <n v="21"/>
    <n v="30"/>
    <n v="4"/>
    <s v="No"/>
    <s v="TH"/>
  </r>
  <r>
    <s v="400-2025"/>
    <s v="Degrosolution"/>
    <s v="Brescia"/>
    <x v="0"/>
    <n v="10000"/>
    <n v="45"/>
    <x v="51"/>
    <n v="11"/>
    <n v="5"/>
    <n v="3"/>
    <n v="45"/>
    <n v="100"/>
    <n v="7"/>
    <s v="No"/>
    <m/>
  </r>
  <r>
    <s v="606-2025"/>
    <s v="Production Reality AU"/>
    <s v="Freezer ASRS"/>
    <x v="0"/>
    <n v="5200"/>
    <n v="60"/>
    <x v="5"/>
    <n v="10"/>
    <n v="5"/>
    <n v="2"/>
    <n v="42"/>
    <n v="105"/>
    <n v="9"/>
    <s v="Si"/>
    <s v="(-20°C)"/>
  </r>
  <r>
    <s v="410-2025A"/>
    <s v="Still GmBH"/>
    <s v="DK-S-MAE-ASTI"/>
    <x v="0"/>
    <n v="51000"/>
    <n v="247"/>
    <x v="52"/>
    <n v="10"/>
    <n v="4"/>
    <n v="18"/>
    <n v="67"/>
    <n v="300"/>
    <n v="24"/>
    <s v="No"/>
    <m/>
  </r>
  <r>
    <s v="583-2025"/>
    <s v="INCAS - SSI Schaefer"/>
    <s v="P3734 - Magazzino Pallet"/>
    <x v="1"/>
    <n v="960"/>
    <n v="43"/>
    <x v="28"/>
    <n v="6.3"/>
    <n v="3"/>
    <n v="1"/>
    <n v="27"/>
    <n v="46"/>
    <n v="3"/>
    <s v="No"/>
    <m/>
  </r>
  <r>
    <s v="302-2025B"/>
    <s v="Still CZ"/>
    <s v="HOPI Logistics"/>
    <x v="1"/>
    <n v="49800"/>
    <n v="185"/>
    <x v="53"/>
    <n v="12"/>
    <n v="5"/>
    <n v="5"/>
    <n v="124"/>
    <n v="600"/>
    <n v="50"/>
    <s v="No"/>
    <m/>
  </r>
  <r>
    <s v="134-2025A"/>
    <s v="Linde Gmbh "/>
    <s v="Bristol Beverage [Refresco]"/>
    <x v="1"/>
    <n v="19400"/>
    <n v="101"/>
    <x v="46"/>
    <n v="12.4"/>
    <n v="6"/>
    <n v="2"/>
    <n v="78"/>
    <n v="160"/>
    <n v="12"/>
    <s v="No"/>
    <m/>
  </r>
  <r>
    <s v="453-2025"/>
    <s v="Bastian US"/>
    <s v="Strathroy"/>
    <x v="0"/>
    <n v="2300"/>
    <n v="25"/>
    <x v="4"/>
    <n v="20"/>
    <n v="7"/>
    <n v="2"/>
    <n v="16"/>
    <n v="120"/>
    <n v="7"/>
    <s v="No"/>
    <m/>
  </r>
  <r>
    <s v="454-2025"/>
    <s v="Bastian US"/>
    <s v="Strathroy"/>
    <x v="0"/>
    <n v="3800"/>
    <n v="58"/>
    <x v="4"/>
    <n v="20"/>
    <n v="6"/>
    <n v="2"/>
    <n v="38"/>
    <n v="100"/>
    <n v="7"/>
    <s v="No"/>
    <s v="V"/>
  </r>
  <r>
    <s v="653-2025"/>
    <s v="Koerber PT"/>
    <s v="Lyon"/>
    <x v="0"/>
    <n v="10700"/>
    <n v="29"/>
    <x v="10"/>
    <n v="20"/>
    <n v="8"/>
    <n v="2"/>
    <n v="44"/>
    <n v="120"/>
    <n v="8"/>
    <s v="No"/>
    <m/>
  </r>
  <r>
    <s v="653-2025"/>
    <s v="Koerber PT"/>
    <s v="Lyon"/>
    <x v="0"/>
    <n v="7200"/>
    <n v="29"/>
    <x v="54"/>
    <n v="20"/>
    <n v="10"/>
    <n v="2"/>
    <n v="33"/>
    <n v="80"/>
    <n v="6"/>
    <s v="No"/>
    <s v="model 3"/>
  </r>
  <r>
    <s v="349-2025"/>
    <s v="Dematic NA"/>
    <s v="Riverview"/>
    <x v="0"/>
    <n v="7000"/>
    <n v="44"/>
    <x v="22"/>
    <n v="12"/>
    <n v="6"/>
    <n v="2"/>
    <n v="51"/>
    <n v="60"/>
    <n v="6"/>
    <s v="No"/>
    <m/>
  </r>
  <r>
    <s v="641-2025"/>
    <s v="Dematic PTE"/>
    <s v="Appetite CP1"/>
    <x v="0"/>
    <n v="3950"/>
    <n v="78"/>
    <x v="5"/>
    <n v="7.5"/>
    <n v="3"/>
    <n v="3"/>
    <n v="48"/>
    <n v="153"/>
    <n v="9"/>
    <s v="No"/>
    <m/>
  </r>
  <r>
    <s v="642-2025"/>
    <s v="Dematic PTE"/>
    <s v="Appetite CP2 Chilled"/>
    <x v="0"/>
    <n v="8690"/>
    <n v="85"/>
    <x v="55"/>
    <n v="11"/>
    <n v="5"/>
    <n v="4"/>
    <n v="52"/>
    <n v="15"/>
    <n v="4"/>
    <s v="No"/>
    <m/>
  </r>
  <r>
    <s v="643-2025"/>
    <s v="Dematic PTE"/>
    <s v="Appetite CP3 Frozen"/>
    <x v="0"/>
    <n v="4900"/>
    <n v="48"/>
    <x v="51"/>
    <n v="11"/>
    <n v="5"/>
    <n v="2"/>
    <n v="29"/>
    <n v="19"/>
    <n v="4"/>
    <s v="Si"/>
    <s v="(-18°C)"/>
  </r>
  <r>
    <s v="684-2025"/>
    <s v="Still Gmbh - DE"/>
    <s v="Gunzburg"/>
    <x v="0"/>
    <n v="3150"/>
    <n v="47"/>
    <x v="37"/>
    <n v="8"/>
    <n v="3"/>
    <n v="3"/>
    <n v="27"/>
    <n v="80"/>
    <n v="4"/>
    <s v="Si"/>
    <s v="(-22°C)"/>
  </r>
  <r>
    <s v="688-2025"/>
    <s v="Still Gmbh - DE"/>
    <s v="Berlin"/>
    <x v="0"/>
    <n v="27070"/>
    <n v="95"/>
    <x v="36"/>
    <n v="12"/>
    <n v="5"/>
    <n v="4"/>
    <n v="61"/>
    <n v="200"/>
    <n v="14"/>
    <s v="No"/>
    <m/>
  </r>
  <r>
    <s v="681-2025"/>
    <s v="Newcold US"/>
    <s v="IN02"/>
    <x v="0"/>
    <n v="6845"/>
    <n v="84"/>
    <x v="37"/>
    <n v="18"/>
    <n v="5"/>
    <n v="5"/>
    <n v="49"/>
    <n v="457"/>
    <n v="26"/>
    <s v="Sì"/>
    <s v="(-25°C)"/>
  </r>
  <r>
    <s v="701-2025"/>
    <s v="Dematic NA"/>
    <s v="Albertsons"/>
    <x v="0"/>
    <n v="38640"/>
    <n v="186"/>
    <x v="56"/>
    <n v="9.1"/>
    <n v="4"/>
    <n v="15"/>
    <n v="135"/>
    <n v="480"/>
    <n v="41"/>
    <s v="No"/>
    <s v="NW"/>
  </r>
  <r>
    <s v="718-2025"/>
    <s v="Toyota UK"/>
    <s v="Surya Food"/>
    <x v="0"/>
    <n v="21300"/>
    <n v="127"/>
    <x v="55"/>
    <n v="15"/>
    <n v="7"/>
    <n v="4"/>
    <n v="84"/>
    <n v="92"/>
    <n v="7"/>
    <s v="No"/>
    <s v="V"/>
  </r>
  <r>
    <s v="701-2025"/>
    <s v="Dematic NA"/>
    <s v="Albertsons"/>
    <x v="0"/>
    <n v="38790"/>
    <n v="186"/>
    <x v="57"/>
    <n v="9.1"/>
    <n v="4"/>
    <n v="15"/>
    <n v="135"/>
    <n v="480"/>
    <n v="41"/>
    <s v="No"/>
    <s v="NW"/>
  </r>
  <r>
    <s v="739-2025"/>
    <s v="APA Group PL"/>
    <s v="K+N transport"/>
    <x v="0"/>
    <n v="150"/>
    <n v="25"/>
    <x v="7"/>
    <n v="2.5"/>
    <n v="1"/>
    <n v="2"/>
    <n v="17"/>
    <n v="60"/>
    <n v="2"/>
    <s v="No"/>
    <m/>
  </r>
  <r>
    <s v="733-2025"/>
    <s v="System Logistics IT"/>
    <s v="SLC-RBARI Arizona (beverage)"/>
    <x v="0"/>
    <n v="2115"/>
    <n v="96"/>
    <x v="36"/>
    <n v="12"/>
    <n v="5"/>
    <n v="6"/>
    <n v="72"/>
    <n v="514"/>
    <n v="39"/>
    <s v="No"/>
    <s v="NW"/>
  </r>
  <r>
    <s v="681-2025"/>
    <s v="NewCold US"/>
    <s v="IN02"/>
    <x v="0"/>
    <n v="6400"/>
    <n v="90"/>
    <x v="37"/>
    <n v="18"/>
    <n v="6"/>
    <n v="8"/>
    <n v="52"/>
    <n v="457"/>
    <n v="30"/>
    <s v="Sì"/>
    <s v="con reshuffling"/>
  </r>
  <r>
    <s v="681-2025"/>
    <s v="NewCold US"/>
    <s v="IN02"/>
    <x v="0"/>
    <n v="6400"/>
    <n v="90"/>
    <x v="37"/>
    <n v="18"/>
    <n v="6"/>
    <n v="8"/>
    <n v="52"/>
    <n v="457"/>
    <n v="26"/>
    <s v="Sì"/>
    <s v="senza reshuffling"/>
  </r>
  <r>
    <s v="652-2025"/>
    <s v="Still IT"/>
    <s v="Mirage"/>
    <x v="0"/>
    <n v="11136"/>
    <n v="74"/>
    <x v="6"/>
    <n v="12"/>
    <n v="9"/>
    <n v="2"/>
    <n v="37"/>
    <n v="104"/>
    <n v="8"/>
    <s v="No"/>
    <s v="senza reshuffling"/>
  </r>
  <r>
    <s v="652-2025"/>
    <s v="Still IT"/>
    <s v="Mirage"/>
    <x v="0"/>
    <n v="4968"/>
    <n v="74"/>
    <x v="26"/>
    <n v="12"/>
    <n v="8"/>
    <n v="4"/>
    <n v="46"/>
    <n v="236"/>
    <n v="14"/>
    <s v="No"/>
    <s v="senza reshuffling"/>
  </r>
  <r>
    <s v="755-2025"/>
    <s v="Viastore ES"/>
    <s v="Screwfix"/>
    <x v="0"/>
    <n v="15340"/>
    <n v="51"/>
    <x v="58"/>
    <n v="15"/>
    <n v="8"/>
    <n v="8"/>
    <n v="35"/>
    <n v="48"/>
    <n v="4"/>
    <s v="No"/>
    <m/>
  </r>
  <r>
    <s v="688-2025"/>
    <s v="Still Gmbh - DE"/>
    <s v="Berlin (TOT - Phase 3)"/>
    <x v="0"/>
    <n v="27070"/>
    <n v="95"/>
    <x v="36"/>
    <n v="12"/>
    <n v="5"/>
    <n v="4"/>
    <n v="61"/>
    <n v="200"/>
    <n v="11"/>
    <s v="No"/>
    <m/>
  </r>
  <r>
    <s v="688-2025"/>
    <s v="Still Gmbh - DE"/>
    <s v="Berlin (Phase 1)"/>
    <x v="0"/>
    <n v="27070"/>
    <n v="32"/>
    <x v="36"/>
    <n v="12"/>
    <n v="5"/>
    <n v="4"/>
    <n v="61"/>
    <n v="67"/>
    <n v="5"/>
    <s v="No"/>
    <m/>
  </r>
  <r>
    <s v="688-2025"/>
    <s v="Still Gmbh - DE"/>
    <s v="Berlin (Phase 2)"/>
    <x v="0"/>
    <n v="27070"/>
    <n v="64"/>
    <x v="36"/>
    <n v="12"/>
    <n v="5"/>
    <n v="4"/>
    <n v="61"/>
    <n v="134"/>
    <n v="8"/>
    <s v="No"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  <r>
    <m/>
    <m/>
    <m/>
    <x v="3"/>
    <m/>
    <m/>
    <x v="59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PM Group"/>
    <s v="Frigo"/>
    <x v="0"/>
    <n v="2800"/>
    <n v="75"/>
    <n v="13"/>
    <n v="12"/>
    <n v="5"/>
    <x v="0"/>
    <n v="50"/>
    <x v="0"/>
    <n v="5"/>
    <s v="No"/>
    <m/>
    <x v="0"/>
  </r>
  <r>
    <s v="Daifuku US"/>
    <s v="Southwire"/>
    <x v="1"/>
    <n v="25032"/>
    <n v="237"/>
    <n v="41"/>
    <n v="12"/>
    <n v="6"/>
    <x v="1"/>
    <n v="150"/>
    <x v="1"/>
    <n v="6"/>
    <s v="No"/>
    <m/>
    <x v="1"/>
  </r>
  <r>
    <s v="Daifuku US"/>
    <s v="Southwire"/>
    <x v="1"/>
    <n v="35100"/>
    <n v="237"/>
    <n v="58"/>
    <n v="12"/>
    <n v="6"/>
    <x v="2"/>
    <n v="150"/>
    <x v="1"/>
    <n v="12"/>
    <s v="No"/>
    <m/>
    <x v="2"/>
  </r>
  <r>
    <s v="Daifuku US"/>
    <s v="Southwire"/>
    <x v="1"/>
    <n v="40500"/>
    <n v="237"/>
    <n v="66"/>
    <n v="12"/>
    <n v="6"/>
    <x v="2"/>
    <n v="150"/>
    <x v="1"/>
    <n v="12"/>
    <s v="No"/>
    <m/>
    <x v="3"/>
  </r>
  <r>
    <s v="KION ITS DE"/>
    <s v="Westfalia-Spalding"/>
    <x v="0"/>
    <n v="900"/>
    <n v="32"/>
    <n v="29"/>
    <n v="8"/>
    <n v="3"/>
    <x v="2"/>
    <n v="20"/>
    <x v="2"/>
    <n v="4"/>
    <s v="No"/>
    <m/>
    <x v="4"/>
  </r>
  <r>
    <s v="Dematic NA"/>
    <s v="Riverview_Stevens Milk Plant"/>
    <x v="0"/>
    <n v="10224"/>
    <n v="79"/>
    <n v="43"/>
    <n v="11.4"/>
    <n v="6"/>
    <x v="0"/>
    <n v="58"/>
    <x v="3"/>
    <n v="4"/>
    <s v="No"/>
    <m/>
    <x v="5"/>
  </r>
  <r>
    <s v="Viastore ES"/>
    <s v="France ASRS"/>
    <x v="0"/>
    <n v="2960"/>
    <n v="53"/>
    <n v="25"/>
    <n v="10"/>
    <n v="4"/>
    <x v="2"/>
    <n v="34"/>
    <x v="4"/>
    <n v="5"/>
    <s v="No"/>
    <m/>
    <x v="6"/>
  </r>
  <r>
    <s v="Wipro Ferretto IT"/>
    <s v="Magazzino -25°C"/>
    <x v="0"/>
    <n v="1017"/>
    <n v="32"/>
    <n v="11"/>
    <n v="14.3"/>
    <n v="4"/>
    <x v="1"/>
    <n v="19"/>
    <x v="5"/>
    <n v="4"/>
    <s v="Si"/>
    <s v=" (-25° C)"/>
    <x v="7"/>
  </r>
  <r>
    <s v="LCS IT"/>
    <s v="Magazzino automatico LCS"/>
    <x v="1"/>
    <n v="4400"/>
    <n v="52"/>
    <n v="23"/>
    <n v="15"/>
    <n v="9"/>
    <x v="1"/>
    <n v="34"/>
    <x v="6"/>
    <n v="9"/>
    <s v="No"/>
    <m/>
    <x v="8"/>
  </r>
  <r>
    <s v="LCS IT"/>
    <s v="Magazzino automatico LCS"/>
    <x v="0"/>
    <n v="4400"/>
    <n v="51"/>
    <n v="22"/>
    <n v="15"/>
    <n v="9"/>
    <x v="1"/>
    <n v="34"/>
    <x v="6"/>
    <n v="9"/>
    <s v="No"/>
    <m/>
    <x v="9"/>
  </r>
  <r>
    <s v="Linde  IT"/>
    <s v="OCM Packaging"/>
    <x v="0"/>
    <n v="7900"/>
    <n v="97"/>
    <n v="54"/>
    <n v="14"/>
    <n v="5"/>
    <x v="3"/>
    <n v="53"/>
    <x v="7"/>
    <n v="5"/>
    <s v="No"/>
    <m/>
    <x v="10"/>
  </r>
  <r>
    <s v="Linde  DE"/>
    <s v="Bristol Beverage"/>
    <x v="0"/>
    <n v="19800"/>
    <n v="97"/>
    <n v="65"/>
    <n v="12.4"/>
    <n v="6"/>
    <x v="4"/>
    <n v="39"/>
    <x v="8"/>
    <n v="6"/>
    <s v="No"/>
    <m/>
    <x v="11"/>
  </r>
  <r>
    <s v="Linde  DE"/>
    <s v="Bristol Beverage"/>
    <x v="0"/>
    <n v="19800"/>
    <n v="97"/>
    <n v="65"/>
    <n v="12.4"/>
    <n v="6"/>
    <x v="4"/>
    <n v="39"/>
    <x v="1"/>
    <n v="10"/>
    <s v="No"/>
    <m/>
    <x v="11"/>
  </r>
  <r>
    <s v="Linde  DE"/>
    <s v="Bristol Beverage"/>
    <x v="0"/>
    <n v="19476"/>
    <n v="96"/>
    <n v="64"/>
    <n v="12.4"/>
    <n v="6"/>
    <x v="5"/>
    <n v="39"/>
    <x v="8"/>
    <n v="6"/>
    <s v="No"/>
    <m/>
    <x v="12"/>
  </r>
  <r>
    <s v="Linde  DE"/>
    <s v="Bristol Beverage"/>
    <x v="0"/>
    <n v="19476"/>
    <n v="96"/>
    <n v="65"/>
    <n v="12.4"/>
    <n v="6"/>
    <x v="5"/>
    <n v="39"/>
    <x v="1"/>
    <n v="9"/>
    <s v="No"/>
    <m/>
    <x v="13"/>
  </r>
  <r>
    <s v="Toyota BE"/>
    <s v="BiscuiterieThijs"/>
    <x v="0"/>
    <n v="12000"/>
    <n v="77"/>
    <n v="51"/>
    <n v="22"/>
    <n v="9"/>
    <x v="0"/>
    <n v="48"/>
    <x v="9"/>
    <n v="18"/>
    <s v="No"/>
    <m/>
    <x v="14"/>
  </r>
  <r>
    <s v="Linde  DE"/>
    <s v="Bristol Beverage"/>
    <x v="0"/>
    <n v="19764"/>
    <n v="99"/>
    <n v="59"/>
    <n v="12.4"/>
    <n v="6"/>
    <x v="0"/>
    <n v="68"/>
    <x v="8"/>
    <n v="6"/>
    <s v="No"/>
    <m/>
    <x v="15"/>
  </r>
  <r>
    <s v="Linde  DE"/>
    <s v="Bristol Beverage"/>
    <x v="0"/>
    <n v="19764"/>
    <n v="99"/>
    <n v="59"/>
    <n v="12.4"/>
    <n v="6"/>
    <x v="0"/>
    <n v="68"/>
    <x v="1"/>
    <n v="9"/>
    <s v="No"/>
    <m/>
    <x v="15"/>
  </r>
  <r>
    <s v="Still PL"/>
    <s v="Intersnack"/>
    <x v="1"/>
    <n v="12136"/>
    <n v="25"/>
    <n v="110"/>
    <n v="12"/>
    <n v="4"/>
    <x v="0"/>
    <n v="75"/>
    <x v="10"/>
    <n v="12"/>
    <s v="No"/>
    <m/>
    <x v="16"/>
  </r>
  <r>
    <s v="Still PL"/>
    <s v="Intersnack"/>
    <x v="1"/>
    <n v="12136"/>
    <n v="76"/>
    <n v="34"/>
    <n v="12"/>
    <n v="4"/>
    <x v="0"/>
    <n v="49"/>
    <x v="11"/>
    <n v="12"/>
    <s v="No"/>
    <m/>
    <x v="17"/>
  </r>
  <r>
    <s v="Still PL"/>
    <s v="Intersnack"/>
    <x v="1"/>
    <n v="12216"/>
    <n v="25"/>
    <n v="110"/>
    <n v="13"/>
    <n v="5"/>
    <x v="0"/>
    <n v="75"/>
    <x v="10"/>
    <n v="12"/>
    <s v="No"/>
    <m/>
    <x v="18"/>
  </r>
  <r>
    <s v="Still PL"/>
    <s v="Intersnack"/>
    <x v="1"/>
    <n v="12216"/>
    <n v="76"/>
    <n v="34"/>
    <n v="13"/>
    <n v="5"/>
    <x v="2"/>
    <n v="49"/>
    <x v="12"/>
    <n v="8"/>
    <s v="No"/>
    <m/>
    <x v="19"/>
  </r>
  <r>
    <s v="Still PL"/>
    <s v="Intersnack"/>
    <x v="1"/>
    <n v="13471"/>
    <n v="25"/>
    <n v="69"/>
    <n v="14"/>
    <n v="6"/>
    <x v="2"/>
    <n v="46"/>
    <x v="12"/>
    <n v="8"/>
    <s v="No"/>
    <m/>
    <x v="20"/>
  </r>
  <r>
    <s v="Still PL"/>
    <s v="Intersnack"/>
    <x v="1"/>
    <n v="13471"/>
    <n v="103"/>
    <n v="34"/>
    <n v="14"/>
    <n v="6"/>
    <x v="0"/>
    <n v="68"/>
    <x v="13"/>
    <n v="12"/>
    <s v="No"/>
    <m/>
    <x v="21"/>
  </r>
  <r>
    <s v="Savoye UAE"/>
    <s v="Water Bottle"/>
    <x v="0"/>
    <n v="11337"/>
    <n v="51"/>
    <n v="49"/>
    <n v="22"/>
    <n v="9"/>
    <x v="5"/>
    <n v="35"/>
    <x v="14"/>
    <n v="15"/>
    <s v="No"/>
    <m/>
    <x v="22"/>
  </r>
  <r>
    <s v="Bastian US"/>
    <s v="Test_1"/>
    <x v="1"/>
    <n v="45600"/>
    <n v="130"/>
    <n v="88"/>
    <n v="23"/>
    <n v="7"/>
    <x v="2"/>
    <n v="104"/>
    <x v="15"/>
    <n v="14"/>
    <s v="Si"/>
    <s v="(-26°C)"/>
    <x v="23"/>
  </r>
  <r>
    <s v="Bastian US"/>
    <s v="Test_1"/>
    <x v="1"/>
    <n v="45690"/>
    <n v="130"/>
    <n v="90"/>
    <n v="23"/>
    <n v="7"/>
    <x v="0"/>
    <n v="102"/>
    <x v="15"/>
    <n v="21"/>
    <s v="Si"/>
    <s v="(-26°C)"/>
    <x v="24"/>
  </r>
  <r>
    <s v="Bastian US"/>
    <s v="Test_1"/>
    <x v="1"/>
    <n v="46512"/>
    <n v="130"/>
    <n v="105"/>
    <n v="23"/>
    <n v="6"/>
    <x v="0"/>
    <n v="102"/>
    <x v="15"/>
    <n v="18"/>
    <s v="Si"/>
    <s v="(-26°C)"/>
    <x v="25"/>
  </r>
  <r>
    <s v="Fortna UK"/>
    <s v="Bronderslev"/>
    <x v="0"/>
    <n v="1775"/>
    <n v="60"/>
    <n v="11"/>
    <n v="6.3"/>
    <n v="5"/>
    <x v="2"/>
    <n v="41"/>
    <x v="16"/>
    <n v="4"/>
    <s v="No"/>
    <m/>
    <x v="26"/>
  </r>
  <r>
    <s v="Bastian US"/>
    <s v="Test_2"/>
    <x v="0"/>
    <n v="25168"/>
    <n v="69"/>
    <n v="105"/>
    <n v="13"/>
    <n v="7"/>
    <x v="3"/>
    <n v="52"/>
    <x v="17"/>
    <n v="6"/>
    <s v="No"/>
    <m/>
    <x v="27"/>
  </r>
  <r>
    <s v="Bastian US"/>
    <s v="Test_2"/>
    <x v="0"/>
    <n v="25080"/>
    <n v="69"/>
    <n v="106"/>
    <n v="13"/>
    <n v="7"/>
    <x v="4"/>
    <n v="80"/>
    <x v="17"/>
    <n v="8"/>
    <s v="No"/>
    <m/>
    <x v="28"/>
  </r>
  <r>
    <s v="LCS IT"/>
    <s v="Magazzino automatico LCS"/>
    <x v="0"/>
    <n v="3455"/>
    <n v="51"/>
    <n v="20"/>
    <n v="15"/>
    <n v="9"/>
    <x v="0"/>
    <n v="33"/>
    <x v="6"/>
    <n v="9"/>
    <s v="No"/>
    <m/>
    <x v="29"/>
  </r>
  <r>
    <s v="Bastian US"/>
    <s v="Test_1"/>
    <x v="0"/>
    <n v="24800"/>
    <n v="133"/>
    <n v="98"/>
    <n v="23"/>
    <n v="7"/>
    <x v="3"/>
    <n v="98"/>
    <x v="15"/>
    <n v="21"/>
    <s v="Si"/>
    <s v="(-26°C)"/>
    <x v="30"/>
  </r>
  <r>
    <s v="Still SR"/>
    <s v="Lear Bratislava"/>
    <x v="1"/>
    <n v="1100"/>
    <n v="27"/>
    <n v="22"/>
    <n v="9.5"/>
    <n v="6"/>
    <x v="1"/>
    <n v="11"/>
    <x v="18"/>
    <n v="6"/>
    <s v="No"/>
    <m/>
    <x v="31"/>
  </r>
  <r>
    <s v="TGW Gmbh"/>
    <s v="Test_1"/>
    <x v="1"/>
    <n v="18500"/>
    <n v="60"/>
    <n v="110"/>
    <n v="5.2"/>
    <n v="2"/>
    <x v="6"/>
    <n v="85"/>
    <x v="19"/>
    <n v="16"/>
    <s v="No"/>
    <m/>
    <x v="32"/>
  </r>
  <r>
    <s v="TGW Gmbh"/>
    <s v="Test_2"/>
    <x v="1"/>
    <n v="77000"/>
    <n v="163"/>
    <n v="80"/>
    <n v="20"/>
    <n v="8"/>
    <x v="0"/>
    <n v="112"/>
    <x v="20"/>
    <n v="24"/>
    <s v="No"/>
    <m/>
    <x v="33"/>
  </r>
  <r>
    <s v="MINDA"/>
    <s v="Sao Paolo"/>
    <x v="1"/>
    <n v="10900"/>
    <n v="66"/>
    <n v="50"/>
    <n v="12"/>
    <n v="6"/>
    <x v="2"/>
    <n v="35"/>
    <x v="21"/>
    <n v="12"/>
    <s v="No"/>
    <m/>
    <x v="34"/>
  </r>
  <r>
    <s v="Still PL"/>
    <s v="Beiersdorf"/>
    <x v="1"/>
    <n v="2088"/>
    <n v="25"/>
    <n v="33"/>
    <n v="15"/>
    <n v="6"/>
    <x v="2"/>
    <n v="12"/>
    <x v="22"/>
    <n v="6"/>
    <s v="No"/>
    <m/>
    <x v="35"/>
  </r>
  <r>
    <s v="KION/Still/Linde BE"/>
    <s v="Groningen"/>
    <x v="0"/>
    <n v="18300"/>
    <n v="65"/>
    <n v="33"/>
    <n v="25"/>
    <n v="15"/>
    <x v="2"/>
    <n v="45"/>
    <x v="1"/>
    <n v="12"/>
    <s v="No"/>
    <m/>
    <x v="36"/>
  </r>
  <r>
    <s v="Still CZ"/>
    <s v="HOPI Logistics"/>
    <x v="1"/>
    <n v="52535"/>
    <n v="182"/>
    <n v="84"/>
    <n v="12"/>
    <n v="5"/>
    <x v="5"/>
    <n v="127"/>
    <x v="23"/>
    <n v="25"/>
    <s v="No"/>
    <m/>
    <x v="37"/>
  </r>
  <r>
    <s v="CLS"/>
    <s v="OLVAN"/>
    <x v="0"/>
    <n v="3168"/>
    <n v="43"/>
    <n v="39"/>
    <n v="9.5"/>
    <n v="6"/>
    <x v="2"/>
    <n v="18"/>
    <x v="8"/>
    <n v="5"/>
    <s v="No"/>
    <m/>
    <x v="38"/>
  </r>
  <r>
    <s v="CLS"/>
    <s v="OLVAN"/>
    <x v="0"/>
    <n v="3168"/>
    <n v="41"/>
    <n v="38"/>
    <n v="9.5"/>
    <n v="6"/>
    <x v="2"/>
    <n v="18"/>
    <x v="8"/>
    <n v="6"/>
    <s v="No"/>
    <m/>
    <x v="39"/>
  </r>
  <r>
    <s v="CLS"/>
    <s v="OLVAN"/>
    <x v="0"/>
    <n v="3168"/>
    <n v="45"/>
    <n v="40"/>
    <n v="9.5"/>
    <n v="6"/>
    <x v="2"/>
    <n v="18"/>
    <x v="8"/>
    <n v="7"/>
    <s v="No"/>
    <m/>
    <x v="40"/>
  </r>
  <r>
    <s v="Viastore ES"/>
    <s v="Puig France"/>
    <x v="1"/>
    <n v="4500"/>
    <n v="40"/>
    <n v="24"/>
    <n v="12"/>
    <n v="4"/>
    <x v="2"/>
    <n v="27"/>
    <x v="24"/>
    <n v="6"/>
    <s v="No"/>
    <m/>
    <x v="41"/>
  </r>
  <r>
    <s v="Viastore ES"/>
    <s v="Puig France"/>
    <x v="1"/>
    <n v="4500"/>
    <n v="40"/>
    <n v="24"/>
    <n v="12"/>
    <n v="7"/>
    <x v="2"/>
    <n v="27"/>
    <x v="24"/>
    <n v="7"/>
    <s v="No"/>
    <m/>
    <x v="41"/>
  </r>
  <r>
    <s v="Dematic ES"/>
    <s v="Tenerife"/>
    <x v="1"/>
    <n v="2000"/>
    <n v="34"/>
    <n v="14"/>
    <n v="18"/>
    <n v="7"/>
    <x v="1"/>
    <n v="19"/>
    <x v="25"/>
    <n v="7"/>
    <s v="No"/>
    <m/>
    <x v="42"/>
  </r>
  <r>
    <s v="LCS IT"/>
    <s v="Napoli"/>
    <x v="0"/>
    <n v="5780"/>
    <n v="61"/>
    <n v="24"/>
    <n v="16"/>
    <n v="8"/>
    <x v="2"/>
    <n v="39"/>
    <x v="26"/>
    <n v="4"/>
    <s v="No"/>
    <m/>
    <x v="43"/>
  </r>
  <r>
    <s v="Viastore FR"/>
    <s v="Project  241624"/>
    <x v="1"/>
    <n v="7800"/>
    <n v="74"/>
    <n v="24"/>
    <n v="23"/>
    <n v="8"/>
    <x v="2"/>
    <n v="45"/>
    <x v="27"/>
    <n v="16"/>
    <s v="No"/>
    <m/>
    <x v="44"/>
  </r>
  <r>
    <s v="Linde Gmbh "/>
    <s v="Greece_Zodiac"/>
    <x v="0"/>
    <n v="4050"/>
    <n v="60"/>
    <n v="31"/>
    <n v="10"/>
    <n v="4"/>
    <x v="0"/>
    <n v="21"/>
    <x v="22"/>
    <n v="10"/>
    <s v="No"/>
    <m/>
    <x v="45"/>
  </r>
  <r>
    <s v="Cassioli"/>
    <s v="Bakery"/>
    <x v="0"/>
    <n v="1900"/>
    <n v="29"/>
    <n v="27"/>
    <n v="14"/>
    <n v="5"/>
    <x v="2"/>
    <n v="19"/>
    <x v="28"/>
    <n v="6"/>
    <s v="Si"/>
    <s v="(-25°C)"/>
    <x v="46"/>
  </r>
  <r>
    <s v="INCAS - SSI Schaefer"/>
    <s v="Bolzano"/>
    <x v="0"/>
    <n v="3600"/>
    <n v="20"/>
    <n v="52"/>
    <n v="14"/>
    <n v="6"/>
    <x v="2"/>
    <n v="35"/>
    <x v="3"/>
    <n v="4"/>
    <s v="No"/>
    <m/>
    <x v="47"/>
  </r>
  <r>
    <s v="INCAS - SSI Schaefer"/>
    <s v="Bolzano"/>
    <x v="0"/>
    <n v="2800"/>
    <n v="20"/>
    <n v="52"/>
    <n v="14"/>
    <n v="6"/>
    <x v="2"/>
    <n v="35"/>
    <x v="3"/>
    <n v="5"/>
    <s v="No"/>
    <m/>
    <x v="47"/>
  </r>
  <r>
    <s v="INCAS - SSI Schaefer"/>
    <s v="Bolzano"/>
    <x v="1"/>
    <n v="3700"/>
    <n v="20"/>
    <n v="51"/>
    <n v="14"/>
    <n v="6"/>
    <x v="1"/>
    <n v="33"/>
    <x v="3"/>
    <n v="6"/>
    <s v="No"/>
    <m/>
    <x v="48"/>
  </r>
  <r>
    <s v="INCAS - SSI Schaefer"/>
    <s v="Bolzano"/>
    <x v="1"/>
    <n v="2900"/>
    <n v="20"/>
    <n v="51"/>
    <n v="14"/>
    <n v="6"/>
    <x v="1"/>
    <n v="33"/>
    <x v="3"/>
    <n v="6"/>
    <s v="No"/>
    <m/>
    <x v="48"/>
  </r>
  <r>
    <s v="Viastore ES"/>
    <s v="Netherlands Fruits"/>
    <x v="1"/>
    <n v="20000"/>
    <n v="69"/>
    <n v="67"/>
    <n v="28.8"/>
    <n v="9"/>
    <x v="7"/>
    <n v="39"/>
    <x v="29"/>
    <n v="36"/>
    <s v="No"/>
    <m/>
    <x v="49"/>
  </r>
  <r>
    <s v="Viastore ES"/>
    <s v="Puig France"/>
    <x v="0"/>
    <n v="4500"/>
    <n v="38"/>
    <n v="26"/>
    <n v="12"/>
    <n v="7"/>
    <x v="0"/>
    <n v="24"/>
    <x v="24"/>
    <n v="7"/>
    <s v="No"/>
    <m/>
    <x v="50"/>
  </r>
  <r>
    <s v="Dematic NA"/>
    <s v="Riverview"/>
    <x v="1"/>
    <n v="10175"/>
    <n v="44"/>
    <n v="80"/>
    <n v="12"/>
    <n v="6"/>
    <x v="1"/>
    <n v="60"/>
    <x v="30"/>
    <n v="6"/>
    <s v="No"/>
    <m/>
    <x v="51"/>
  </r>
  <r>
    <s v="FB Industry AT"/>
    <s v="Oberburg"/>
    <x v="1"/>
    <n v="1300"/>
    <n v="46"/>
    <n v="8"/>
    <n v="14"/>
    <n v="6"/>
    <x v="1"/>
    <n v="28"/>
    <x v="31"/>
    <n v="6"/>
    <s v="No"/>
    <m/>
    <x v="52"/>
  </r>
  <r>
    <s v="Dematic NA"/>
    <s v="STO Corp"/>
    <x v="1"/>
    <n v="3300"/>
    <n v="35"/>
    <n v="62"/>
    <n v="30"/>
    <n v="4"/>
    <x v="1"/>
    <n v="42"/>
    <x v="16"/>
    <n v="4"/>
    <s v="No"/>
    <m/>
    <x v="53"/>
  </r>
  <r>
    <s v="Viastore ES"/>
    <s v="BiscuiterieThijs"/>
    <x v="1"/>
    <n v="12000"/>
    <n v="77"/>
    <n v="51"/>
    <n v="22"/>
    <n v="8"/>
    <x v="1"/>
    <n v="48"/>
    <x v="32"/>
    <n v="8"/>
    <s v="No"/>
    <m/>
    <x v="14"/>
  </r>
  <r>
    <s v="Guven TR"/>
    <s v="Corobo Project"/>
    <x v="1"/>
    <n v="48000"/>
    <n v="79"/>
    <n v="95"/>
    <n v="20"/>
    <n v="10"/>
    <x v="0"/>
    <n v="70"/>
    <x v="33"/>
    <n v="30"/>
    <s v="No"/>
    <m/>
    <x v="54"/>
  </r>
  <r>
    <s v="KION ITS"/>
    <s v="IMP-TOLE"/>
    <x v="1"/>
    <n v="28300"/>
    <n v="116"/>
    <n v="42"/>
    <n v="24"/>
    <n v="10"/>
    <x v="1"/>
    <n v="75"/>
    <x v="34"/>
    <n v="20"/>
    <s v="No"/>
    <m/>
    <x v="55"/>
  </r>
  <r>
    <s v="SSI-Schaefer"/>
    <s v="Honeylog 2"/>
    <x v="0"/>
    <n v="78000"/>
    <n v="118"/>
    <n v="76"/>
    <n v="42"/>
    <n v="17"/>
    <x v="7"/>
    <n v="69"/>
    <x v="35"/>
    <n v="34"/>
    <s v="No"/>
    <m/>
    <x v="56"/>
  </r>
  <r>
    <s v="Still DE"/>
    <s v="IMP-TOLE"/>
    <x v="1"/>
    <n v="28380"/>
    <n v="120"/>
    <n v="42"/>
    <n v="24"/>
    <n v="10"/>
    <x v="1"/>
    <n v="75"/>
    <x v="34"/>
    <n v="10"/>
    <s v="No"/>
    <m/>
    <x v="57"/>
  </r>
  <r>
    <s v="Bastian US"/>
    <s v="Strathroy"/>
    <x v="0"/>
    <n v="2540"/>
    <n v="25"/>
    <n v="29"/>
    <n v="19.8"/>
    <n v="6"/>
    <x v="2"/>
    <n v="16"/>
    <x v="36"/>
    <n v="5"/>
    <s v="No"/>
    <m/>
    <x v="58"/>
  </r>
  <r>
    <s v="Bastian US"/>
    <s v="Strathroy"/>
    <x v="0"/>
    <n v="6120"/>
    <n v="58"/>
    <n v="29"/>
    <n v="19.8"/>
    <n v="6"/>
    <x v="2"/>
    <n v="38"/>
    <x v="37"/>
    <n v="6"/>
    <s v="No"/>
    <m/>
    <x v="59"/>
  </r>
  <r>
    <s v="Dematic NA"/>
    <s v="Riverview"/>
    <x v="1"/>
    <n v="10175"/>
    <n v="45"/>
    <n v="80"/>
    <n v="12"/>
    <n v="5"/>
    <x v="1"/>
    <s v="55-60"/>
    <x v="38"/>
    <n v="5"/>
    <s v="No"/>
    <m/>
    <x v="60"/>
  </r>
  <r>
    <s v="TGW Gmbh"/>
    <s v="Test_1"/>
    <x v="1"/>
    <n v="18500"/>
    <n v="60"/>
    <n v="130"/>
    <n v="5.2"/>
    <n v="2"/>
    <x v="8"/>
    <n v="85"/>
    <x v="19"/>
    <n v="18"/>
    <s v="No"/>
    <m/>
    <x v="61"/>
  </r>
  <r>
    <s v="TGW Gmbh"/>
    <s v="Test_2"/>
    <x v="1"/>
    <n v="77000"/>
    <n v="170"/>
    <n v="80"/>
    <n v="20"/>
    <n v="8"/>
    <x v="0"/>
    <n v="120"/>
    <x v="20"/>
    <n v="24"/>
    <s v="No"/>
    <m/>
    <x v="62"/>
  </r>
  <r>
    <s v="Linde Al Fuittam EAU"/>
    <s v="Ahmad Tea"/>
    <x v="0"/>
    <n v="21000"/>
    <n v="50"/>
    <n v="90"/>
    <n v="33"/>
    <n v="10"/>
    <x v="0"/>
    <n v="52"/>
    <x v="39"/>
    <n v="8"/>
    <s v="No"/>
    <m/>
    <x v="63"/>
  </r>
  <r>
    <s v="Still PL"/>
    <s v="United Petfood"/>
    <x v="0"/>
    <n v="2500"/>
    <n v="70"/>
    <n v="15"/>
    <n v="12"/>
    <n v="5"/>
    <x v="1"/>
    <n v="42"/>
    <x v="39"/>
    <n v="5"/>
    <s v="No"/>
    <m/>
    <x v="64"/>
  </r>
  <r>
    <s v="Still PL"/>
    <s v="United Petfood"/>
    <x v="0"/>
    <n v="2500"/>
    <n v="72"/>
    <n v="15"/>
    <n v="12"/>
    <n v="5"/>
    <x v="2"/>
    <n v="42"/>
    <x v="25"/>
    <n v="6"/>
    <s v="No"/>
    <m/>
    <x v="65"/>
  </r>
  <r>
    <s v="Still PL"/>
    <s v="United Petfood"/>
    <x v="1"/>
    <n v="2500"/>
    <n v="70"/>
    <n v="15"/>
    <n v="12"/>
    <n v="5"/>
    <x v="1"/>
    <n v="42"/>
    <x v="39"/>
    <n v="5"/>
    <s v="No"/>
    <m/>
    <x v="64"/>
  </r>
  <r>
    <s v="Still PL"/>
    <s v="United Petfood"/>
    <x v="1"/>
    <n v="2500"/>
    <n v="70"/>
    <n v="14"/>
    <n v="12"/>
    <n v="5"/>
    <x v="1"/>
    <n v="42"/>
    <x v="25"/>
    <n v="5"/>
    <s v="No"/>
    <m/>
    <x v="66"/>
  </r>
  <r>
    <s v="Cassioli IT"/>
    <s v="Bakery"/>
    <x v="0"/>
    <n v="2216"/>
    <n v="34"/>
    <n v="30"/>
    <n v="14"/>
    <n v="5"/>
    <x v="0"/>
    <n v="19"/>
    <x v="28"/>
    <n v="6"/>
    <s v="Si"/>
    <s v="(-25°C)"/>
    <x v="48"/>
  </r>
  <r>
    <s v="TGW Gmbh"/>
    <s v="Neuenburg am Rhein"/>
    <x v="1"/>
    <n v="2040"/>
    <n v="102"/>
    <n v="16"/>
    <n v="13"/>
    <n v="3"/>
    <x v="2"/>
    <n v="60"/>
    <x v="40"/>
    <n v="12"/>
    <s v="No"/>
    <m/>
    <x v="67"/>
  </r>
  <r>
    <s v="Dematic NA"/>
    <s v="Dense Storage"/>
    <x v="1"/>
    <n v="15000"/>
    <n v="103"/>
    <n v="74"/>
    <n v="10.3"/>
    <n v="5"/>
    <x v="1"/>
    <n v="63"/>
    <x v="22"/>
    <n v="5"/>
    <s v="No"/>
    <m/>
    <x v="68"/>
  </r>
  <r>
    <s v="Dematic DE"/>
    <s v="Ashkelon"/>
    <x v="2"/>
    <n v="39000"/>
    <n v="79"/>
    <n v="104"/>
    <n v="23.2"/>
    <n v="10"/>
    <x v="2"/>
    <n v="64"/>
    <x v="41"/>
    <n v="20"/>
    <s v="No"/>
    <s v="V"/>
    <x v="69"/>
  </r>
  <r>
    <s v="Dematic DE"/>
    <s v="Ashkelon"/>
    <x v="0"/>
    <n v="38000"/>
    <n v="78"/>
    <n v="103"/>
    <n v="23.2"/>
    <n v="10"/>
    <x v="0"/>
    <n v="62"/>
    <x v="41"/>
    <n v="44"/>
    <s v="No"/>
    <s v="V"/>
    <x v="70"/>
  </r>
  <r>
    <s v="Aiut PL"/>
    <s v="Shuttle Warehouse"/>
    <x v="0"/>
    <n v="3500"/>
    <n v="47"/>
    <n v="31"/>
    <n v="11"/>
    <n v="7"/>
    <x v="2"/>
    <n v="24"/>
    <x v="42"/>
    <n v="3"/>
    <s v="No"/>
    <m/>
    <x v="71"/>
  </r>
  <r>
    <s v="Aiut PL"/>
    <s v="Shuttle Warehouse"/>
    <x v="0"/>
    <n v="3500"/>
    <n v="47"/>
    <n v="31"/>
    <n v="11"/>
    <n v="7"/>
    <x v="2"/>
    <n v="24"/>
    <x v="43"/>
    <n v="1"/>
    <s v="No"/>
    <s v="TH"/>
    <x v="71"/>
  </r>
  <r>
    <s v="Aiut PL"/>
    <s v="Shuttle Warehouse"/>
    <x v="0"/>
    <n v="3500"/>
    <n v="47"/>
    <n v="31"/>
    <n v="11"/>
    <n v="7"/>
    <x v="2"/>
    <n v="24"/>
    <x v="44"/>
    <n v="1"/>
    <s v="No"/>
    <m/>
    <x v="71"/>
  </r>
  <r>
    <s v="Aiut PL"/>
    <s v="Shuttle Warehouse"/>
    <x v="0"/>
    <n v="3500"/>
    <n v="47"/>
    <n v="31"/>
    <n v="11"/>
    <n v="7"/>
    <x v="2"/>
    <n v="24"/>
    <x v="44"/>
    <n v="1"/>
    <s v="No"/>
    <s v="TH"/>
    <x v="71"/>
  </r>
  <r>
    <s v="Aiut PL"/>
    <s v="Shuttle Warehouse"/>
    <x v="0"/>
    <n v="3500"/>
    <n v="47"/>
    <n v="31"/>
    <n v="11"/>
    <n v="7"/>
    <x v="2"/>
    <n v="24"/>
    <x v="45"/>
    <n v="1"/>
    <s v="No"/>
    <m/>
    <x v="71"/>
  </r>
  <r>
    <s v="Still CZ"/>
    <s v="Cosmonde RGQ"/>
    <x v="0"/>
    <n v="3120"/>
    <n v="35"/>
    <n v="30"/>
    <n v="14"/>
    <n v="7"/>
    <x v="2"/>
    <n v="21"/>
    <x v="18"/>
    <n v="5"/>
    <s v="No"/>
    <m/>
    <x v="72"/>
  </r>
  <r>
    <s v="Viastore ES"/>
    <s v="BiscuiterieThijs"/>
    <x v="1"/>
    <n v="12000"/>
    <n v="77"/>
    <n v="51"/>
    <n v="22"/>
    <n v="8"/>
    <x v="1"/>
    <n v="48"/>
    <x v="32"/>
    <n v="10"/>
    <s v="No"/>
    <m/>
    <x v="14"/>
  </r>
  <r>
    <s v="Viastore ES"/>
    <s v="Barcelona"/>
    <x v="0"/>
    <n v="11040"/>
    <n v="110"/>
    <n v="60"/>
    <n v="7"/>
    <n v="4"/>
    <x v="5"/>
    <n v="69"/>
    <x v="8"/>
    <n v="12"/>
    <s v="No"/>
    <s v="NW"/>
    <x v="73"/>
  </r>
  <r>
    <s v="Dematic DE"/>
    <s v="Ashkelon"/>
    <x v="1"/>
    <n v="42000"/>
    <n v="55"/>
    <n v="88"/>
    <n v="42"/>
    <n v="18"/>
    <x v="1"/>
    <n v="56"/>
    <x v="41"/>
    <n v="18"/>
    <s v="No"/>
    <s v="V"/>
    <x v="74"/>
  </r>
  <r>
    <s v="Dematic DE"/>
    <s v="Ashkelon"/>
    <x v="0"/>
    <n v="43000"/>
    <n v="55"/>
    <n v="92"/>
    <n v="42"/>
    <n v="18"/>
    <x v="0"/>
    <n v="57"/>
    <x v="41"/>
    <n v="40"/>
    <s v="No"/>
    <s v="V"/>
    <x v="75"/>
  </r>
  <r>
    <s v="Dematic FR"/>
    <s v="ROM"/>
    <x v="1"/>
    <n v="14700"/>
    <n v="78"/>
    <n v="36"/>
    <n v="21"/>
    <n v="9"/>
    <x v="0"/>
    <n v="53"/>
    <x v="41"/>
    <n v="27"/>
    <s v="No"/>
    <s v="F"/>
    <x v="76"/>
  </r>
  <r>
    <s v="Still IT"/>
    <s v="Vodafone"/>
    <x v="0"/>
    <n v="1000"/>
    <n v="27"/>
    <n v="19"/>
    <n v="4"/>
    <n v="3"/>
    <x v="2"/>
    <n v="14"/>
    <x v="3"/>
    <n v="3"/>
    <s v="No"/>
    <m/>
    <x v="77"/>
  </r>
  <r>
    <s v="Still IT"/>
    <s v="Vodafone"/>
    <x v="0"/>
    <n v="1000"/>
    <n v="41"/>
    <n v="22"/>
    <n v="4"/>
    <n v="3"/>
    <x v="2"/>
    <n v="24"/>
    <x v="3"/>
    <n v="3"/>
    <s v="No"/>
    <m/>
    <x v="78"/>
  </r>
  <r>
    <s v="Bastian US"/>
    <s v="Strathroy"/>
    <x v="0"/>
    <n v="2300"/>
    <n v="26"/>
    <n v="29"/>
    <n v="20"/>
    <n v="7"/>
    <x v="2"/>
    <n v="16"/>
    <x v="25"/>
    <n v="7"/>
    <s v="No"/>
    <m/>
    <x v="79"/>
  </r>
  <r>
    <s v="Bastian US"/>
    <s v="Strathroy"/>
    <x v="0"/>
    <n v="3800"/>
    <n v="60"/>
    <n v="29"/>
    <n v="20"/>
    <n v="6"/>
    <x v="2"/>
    <n v="38"/>
    <x v="8"/>
    <n v="7"/>
    <s v="No"/>
    <s v="V"/>
    <x v="80"/>
  </r>
  <r>
    <s v="Still IT"/>
    <s v="Pomus"/>
    <x v="1"/>
    <n v="1000"/>
    <n v="40"/>
    <n v="31"/>
    <n v="10"/>
    <n v="3"/>
    <x v="1"/>
    <n v="25"/>
    <x v="46"/>
    <n v="3"/>
    <s v="No"/>
    <s v="F"/>
    <x v="81"/>
  </r>
  <r>
    <s v="Production Reality AU"/>
    <s v="Freezer ASRS"/>
    <x v="0"/>
    <n v="5000"/>
    <n v="60"/>
    <n v="42"/>
    <n v="10"/>
    <n v="5"/>
    <x v="2"/>
    <n v="42"/>
    <x v="47"/>
    <n v="5"/>
    <s v="Si"/>
    <s v="(-20°C)"/>
    <x v="82"/>
  </r>
  <r>
    <s v="Production Reality AU"/>
    <s v="Freezer ASRS"/>
    <x v="0"/>
    <n v="5200"/>
    <n v="61"/>
    <n v="44"/>
    <n v="10"/>
    <n v="5"/>
    <x v="7"/>
    <n v="40"/>
    <x v="47"/>
    <n v="9"/>
    <s v="Si"/>
    <s v="(-20°C)"/>
    <x v="83"/>
  </r>
  <r>
    <s v="Viastore ES"/>
    <s v="Barcelona"/>
    <x v="0"/>
    <n v="5200"/>
    <n v="110"/>
    <n v="60"/>
    <n v="6"/>
    <n v="4"/>
    <x v="4"/>
    <n v="70"/>
    <x v="48"/>
    <n v="18"/>
    <s v="Si"/>
    <s v="NW"/>
    <x v="34"/>
  </r>
  <r>
    <s v="Cainam TWN"/>
    <s v="Toying Depot"/>
    <x v="0"/>
    <n v="1600"/>
    <n v="16"/>
    <n v="25"/>
    <n v="13"/>
    <n v="9"/>
    <x v="1"/>
    <n v="13"/>
    <x v="49"/>
    <n v="4"/>
    <s v="No"/>
    <s v="TH"/>
    <x v="84"/>
  </r>
  <r>
    <s v="Cainam TWN"/>
    <s v="Yen Chow"/>
    <x v="0"/>
    <n v="2300"/>
    <n v="12"/>
    <n v="39"/>
    <n v="12"/>
    <n v="11"/>
    <x v="1"/>
    <n v="21"/>
    <x v="49"/>
    <n v="4"/>
    <s v="No"/>
    <s v="TH"/>
    <x v="85"/>
  </r>
  <r>
    <s v="Degrosolution"/>
    <s v="Brescia"/>
    <x v="0"/>
    <n v="10000"/>
    <n v="45"/>
    <n v="38"/>
    <n v="11"/>
    <n v="5"/>
    <x v="0"/>
    <n v="45"/>
    <x v="8"/>
    <n v="7"/>
    <s v="No"/>
    <m/>
    <x v="86"/>
  </r>
  <r>
    <s v="Production Reality AU"/>
    <s v="Freezer ASRS"/>
    <x v="0"/>
    <n v="5200"/>
    <n v="62"/>
    <n v="45"/>
    <n v="10"/>
    <n v="5"/>
    <x v="2"/>
    <n v="42"/>
    <x v="47"/>
    <n v="9"/>
    <s v="Si"/>
    <s v="(-20°C)"/>
    <x v="87"/>
  </r>
  <r>
    <s v="Still GmBH"/>
    <s v="DK-S-MAE-ASTI"/>
    <x v="0"/>
    <n v="51000"/>
    <n v="247"/>
    <n v="107"/>
    <n v="10"/>
    <n v="4"/>
    <x v="9"/>
    <n v="67"/>
    <x v="50"/>
    <n v="24"/>
    <s v="No"/>
    <m/>
    <x v="88"/>
  </r>
  <r>
    <s v="INCAS - SSI Schaefer"/>
    <s v="P3734 - Magazzino Pallet"/>
    <x v="1"/>
    <n v="960"/>
    <n v="43"/>
    <n v="14"/>
    <n v="6.3"/>
    <n v="3"/>
    <x v="1"/>
    <n v="27"/>
    <x v="51"/>
    <n v="3"/>
    <s v="No"/>
    <m/>
    <x v="89"/>
  </r>
  <r>
    <s v="Still CZ"/>
    <s v="HOPI Logistics"/>
    <x v="1"/>
    <n v="49800"/>
    <n v="185"/>
    <n v="85"/>
    <n v="12"/>
    <n v="5"/>
    <x v="5"/>
    <n v="124"/>
    <x v="23"/>
    <n v="50"/>
    <s v="No"/>
    <m/>
    <x v="90"/>
  </r>
  <r>
    <s v="Linde Gmbh "/>
    <s v="Bristol Beverage [Refresco]"/>
    <x v="1"/>
    <n v="19400"/>
    <n v="101"/>
    <n v="60"/>
    <n v="12.4"/>
    <n v="6"/>
    <x v="2"/>
    <n v="78"/>
    <x v="22"/>
    <n v="12"/>
    <s v="No"/>
    <m/>
    <x v="91"/>
  </r>
  <r>
    <s v="Bastian US"/>
    <s v="Strathroy"/>
    <x v="0"/>
    <n v="2300"/>
    <n v="24"/>
    <n v="29"/>
    <n v="20"/>
    <n v="7"/>
    <x v="2"/>
    <n v="16"/>
    <x v="25"/>
    <n v="7"/>
    <s v="No"/>
    <m/>
    <x v="92"/>
  </r>
  <r>
    <s v="Bastian US"/>
    <s v="Strathroy"/>
    <x v="0"/>
    <n v="3800"/>
    <n v="58"/>
    <n v="29"/>
    <n v="20"/>
    <n v="6"/>
    <x v="2"/>
    <n v="38"/>
    <x v="8"/>
    <n v="7"/>
    <s v="No"/>
    <s v="V"/>
    <x v="93"/>
  </r>
  <r>
    <s v="Koerber PT"/>
    <s v="Lyon"/>
    <x v="0"/>
    <n v="10700"/>
    <n v="29"/>
    <n v="65"/>
    <n v="20"/>
    <n v="8"/>
    <x v="2"/>
    <n v="44"/>
    <x v="25"/>
    <n v="8"/>
    <s v="No"/>
    <m/>
    <x v="94"/>
  </r>
  <r>
    <s v="Koerber PT"/>
    <s v="Lyon"/>
    <x v="0"/>
    <n v="7200"/>
    <n v="29"/>
    <n v="56"/>
    <n v="20"/>
    <n v="10"/>
    <x v="2"/>
    <n v="33"/>
    <x v="18"/>
    <n v="6"/>
    <s v="No"/>
    <s v="model 3"/>
    <x v="95"/>
  </r>
  <r>
    <s v="Dematic NA"/>
    <s v="Riverview"/>
    <x v="0"/>
    <n v="7000"/>
    <n v="44"/>
    <n v="80"/>
    <n v="12"/>
    <n v="6"/>
    <x v="2"/>
    <n v="51"/>
    <x v="30"/>
    <n v="6"/>
    <s v="No"/>
    <m/>
    <x v="51"/>
  </r>
  <r>
    <s v="Dematic PTE"/>
    <s v="Appetite CP1"/>
    <x v="0"/>
    <n v="3950"/>
    <n v="78"/>
    <n v="43"/>
    <n v="7.5"/>
    <n v="3"/>
    <x v="0"/>
    <n v="48"/>
    <x v="52"/>
    <n v="9"/>
    <s v="No"/>
    <m/>
    <x v="96"/>
  </r>
  <r>
    <s v="Dematic PTE"/>
    <s v="Appetite CP2 Chilled"/>
    <x v="0"/>
    <n v="8690"/>
    <n v="85"/>
    <n v="48"/>
    <n v="11"/>
    <n v="5"/>
    <x v="7"/>
    <n v="52"/>
    <x v="53"/>
    <n v="4"/>
    <s v="No"/>
    <m/>
    <x v="97"/>
  </r>
  <r>
    <s v="Dematic PTE"/>
    <s v="Appetite CP3 Frozen"/>
    <x v="0"/>
    <n v="4900"/>
    <n v="48"/>
    <n v="38"/>
    <n v="11"/>
    <n v="5"/>
    <x v="2"/>
    <n v="29"/>
    <x v="54"/>
    <n v="4"/>
    <s v="Si"/>
    <s v="(-18°C)"/>
    <x v="98"/>
  </r>
  <r>
    <s v="Still Gmbh - DE"/>
    <s v="Gunzburg"/>
    <x v="0"/>
    <n v="3150"/>
    <n v="47"/>
    <n v="42"/>
    <n v="8"/>
    <n v="3"/>
    <x v="0"/>
    <n v="27"/>
    <x v="18"/>
    <n v="5"/>
    <s v="Si"/>
    <s v="(-22°C)"/>
    <x v="99"/>
  </r>
  <r>
    <s v="Still Gmbh - DE"/>
    <s v="Berlin"/>
    <x v="0"/>
    <n v="27070"/>
    <n v="95"/>
    <n v="95"/>
    <n v="12"/>
    <n v="5"/>
    <x v="7"/>
    <n v="61"/>
    <x v="46"/>
    <n v="14"/>
    <s v="No"/>
    <m/>
    <x v="100"/>
  </r>
  <r>
    <s v="Newcold US"/>
    <s v="IN02"/>
    <x v="0"/>
    <n v="6845"/>
    <n v="84"/>
    <n v="42"/>
    <n v="18"/>
    <n v="5"/>
    <x v="5"/>
    <n v="49"/>
    <x v="55"/>
    <n v="26"/>
    <s v="Sì"/>
    <s v="(-25°C)"/>
    <x v="101"/>
  </r>
  <r>
    <s v="Dematic NA"/>
    <s v="Albertsons"/>
    <x v="0"/>
    <n v="38640"/>
    <n v="186"/>
    <n v="132"/>
    <n v="9.1"/>
    <n v="4"/>
    <x v="10"/>
    <n v="135"/>
    <x v="56"/>
    <n v="41"/>
    <s v="No"/>
    <s v="NW"/>
    <x v="102"/>
  </r>
  <r>
    <s v="Toyota UK"/>
    <s v="Surya Food"/>
    <x v="0"/>
    <n v="21300"/>
    <n v="127"/>
    <n v="48"/>
    <n v="15"/>
    <n v="7"/>
    <x v="7"/>
    <n v="84"/>
    <x v="57"/>
    <n v="7"/>
    <s v="No"/>
    <s v="V"/>
    <x v="103"/>
  </r>
  <r>
    <s v="Dematic NA"/>
    <s v="Albertsons"/>
    <x v="0"/>
    <n v="38790"/>
    <n v="186"/>
    <n v="128"/>
    <n v="9.1"/>
    <n v="4"/>
    <x v="10"/>
    <n v="135"/>
    <x v="56"/>
    <n v="41"/>
    <s v="No"/>
    <s v="NW"/>
    <x v="104"/>
  </r>
  <r>
    <s v="APA Group PL"/>
    <s v="K+N transport"/>
    <x v="0"/>
    <n v="150"/>
    <n v="25"/>
    <n v="11"/>
    <n v="2.5"/>
    <n v="1"/>
    <x v="2"/>
    <n v="17"/>
    <x v="30"/>
    <n v="2"/>
    <s v="No"/>
    <m/>
    <x v="105"/>
  </r>
  <r>
    <s v="System Logistics IT"/>
    <s v="SLC-RBARI Arizona (beverage)"/>
    <x v="0"/>
    <n v="2115"/>
    <n v="96"/>
    <n v="95"/>
    <n v="12"/>
    <n v="5"/>
    <x v="4"/>
    <n v="72"/>
    <x v="58"/>
    <n v="39"/>
    <s v="No"/>
    <s v="NW"/>
    <x v="106"/>
  </r>
  <r>
    <s v="NewCold US"/>
    <s v="IN02"/>
    <x v="0"/>
    <n v="6400"/>
    <n v="90"/>
    <n v="42"/>
    <n v="18"/>
    <n v="6"/>
    <x v="6"/>
    <n v="52"/>
    <x v="55"/>
    <n v="30"/>
    <s v="Sì"/>
    <s v="con reshuffling"/>
    <x v="107"/>
  </r>
  <r>
    <s v="NewCold US"/>
    <s v="IN02"/>
    <x v="0"/>
    <n v="6400"/>
    <n v="91"/>
    <n v="43"/>
    <n v="18"/>
    <n v="6"/>
    <x v="6"/>
    <n v="52"/>
    <x v="55"/>
    <n v="26"/>
    <s v="Sì"/>
    <s v="senza reshuffling"/>
    <x v="108"/>
  </r>
  <r>
    <s v="Still IT"/>
    <s v="Mirage"/>
    <x v="0"/>
    <n v="11136"/>
    <n v="74"/>
    <n v="25"/>
    <n v="12"/>
    <n v="9"/>
    <x v="2"/>
    <n v="37"/>
    <x v="59"/>
    <n v="8"/>
    <s v="No"/>
    <s v="senza reshuffling"/>
    <x v="109"/>
  </r>
  <r>
    <s v="Still IT"/>
    <s v="Mirage"/>
    <x v="0"/>
    <n v="4968"/>
    <n v="74"/>
    <n v="40"/>
    <n v="12"/>
    <n v="8"/>
    <x v="7"/>
    <n v="46"/>
    <x v="60"/>
    <n v="14"/>
    <s v="No"/>
    <s v="senza reshuffling"/>
    <x v="110"/>
  </r>
  <r>
    <s v="Viastore ES"/>
    <s v="Screwfix"/>
    <x v="0"/>
    <n v="15340"/>
    <n v="51"/>
    <n v="79"/>
    <n v="15"/>
    <n v="8"/>
    <x v="6"/>
    <n v="35"/>
    <x v="61"/>
    <n v="4"/>
    <s v="No"/>
    <m/>
    <x v="111"/>
  </r>
  <r>
    <s v="Still Gmbh - DE"/>
    <s v="Berlin (TOT - Phase 3)"/>
    <x v="0"/>
    <n v="27070"/>
    <n v="96"/>
    <n v="96"/>
    <n v="12"/>
    <n v="5"/>
    <x v="7"/>
    <n v="61"/>
    <x v="46"/>
    <n v="11"/>
    <s v="No"/>
    <m/>
    <x v="112"/>
  </r>
  <r>
    <s v="Still Gmbh - DE"/>
    <s v="Berlin (Phase 1)"/>
    <x v="0"/>
    <n v="27070"/>
    <n v="32"/>
    <n v="95"/>
    <n v="12"/>
    <n v="5"/>
    <x v="7"/>
    <n v="61"/>
    <x v="62"/>
    <n v="5"/>
    <s v="No"/>
    <m/>
    <x v="113"/>
  </r>
  <r>
    <s v="Still Gmbh - DE"/>
    <s v="Berlin (Phase 2)"/>
    <x v="0"/>
    <n v="27070"/>
    <n v="64"/>
    <n v="95"/>
    <n v="12"/>
    <n v="5"/>
    <x v="7"/>
    <n v="61"/>
    <x v="63"/>
    <n v="8"/>
    <s v="No"/>
    <m/>
    <x v="114"/>
  </r>
  <r>
    <s v="Still Gmbh - DE"/>
    <s v="Gunzburg"/>
    <x v="0"/>
    <n v="3150"/>
    <n v="47"/>
    <n v="42"/>
    <n v="8"/>
    <n v="3"/>
    <x v="0"/>
    <n v="27"/>
    <x v="18"/>
    <n v="4"/>
    <s v="Si"/>
    <s v="(-22°C)"/>
    <x v="99"/>
  </r>
  <r>
    <s v="Roen IT"/>
    <s v="Test"/>
    <x v="0"/>
    <n v="14000"/>
    <n v="47"/>
    <n v="61"/>
    <n v="8.5"/>
    <n v="3"/>
    <x v="7"/>
    <n v="39"/>
    <x v="64"/>
    <n v="10"/>
    <s v="No"/>
    <s v="Solo Concept"/>
    <x v="115"/>
  </r>
  <r>
    <s v="Cassioli IT"/>
    <s v="Bakery"/>
    <x v="0"/>
    <n v="2120"/>
    <n v="35"/>
    <n v="29"/>
    <n v="14"/>
    <n v="5"/>
    <x v="0"/>
    <n v="19"/>
    <x v="28"/>
    <n v="6"/>
    <s v="Si"/>
    <s v="(-25°C)"/>
    <x v="116"/>
  </r>
  <r>
    <s v="Moveo e Servizi"/>
    <s v="ASRS Viteria"/>
    <x v="0"/>
    <n v="5830"/>
    <n v="78"/>
    <n v="36"/>
    <n v="9.5"/>
    <n v="5"/>
    <x v="5"/>
    <n v="51"/>
    <x v="65"/>
    <n v="5"/>
    <s v="No"/>
    <s v="posti pallet da raddoppiare"/>
    <x v="117"/>
  </r>
  <r>
    <s v="Moveo e Servizi"/>
    <s v="ASRS Viteria"/>
    <x v="0"/>
    <n v="9310"/>
    <n v="81"/>
    <n v="42"/>
    <n v="9.5"/>
    <n v="5"/>
    <x v="4"/>
    <n v="53"/>
    <x v="66"/>
    <n v="9"/>
    <s v="No"/>
    <s v="posti pallet da raddoppiare"/>
    <x v="118"/>
  </r>
  <r>
    <s v="Cainam TWN"/>
    <s v="Toying Depot"/>
    <x v="0"/>
    <n v="910"/>
    <n v="16"/>
    <n v="16"/>
    <n v="13"/>
    <n v="9"/>
    <x v="1"/>
    <n v="13"/>
    <x v="43"/>
    <n v="2"/>
    <s v="No"/>
    <s v="6 pp reshuffling"/>
    <x v="119"/>
  </r>
  <r>
    <s v="Cainam TWN"/>
    <s v="Toying Depot"/>
    <x v="0"/>
    <n v="600"/>
    <n v="16"/>
    <n v="12"/>
    <n v="13"/>
    <n v="9"/>
    <x v="1"/>
    <n v="13"/>
    <x v="43"/>
    <n v="2"/>
    <s v="No"/>
    <s v="6 pp reshuffling"/>
    <x v="120"/>
  </r>
  <r>
    <s v="Linde Gmbh "/>
    <s v="Schoeler"/>
    <x v="0"/>
    <n v="3980"/>
    <n v="61"/>
    <n v="25"/>
    <n v="6.8"/>
    <n v="4"/>
    <x v="2"/>
    <n v="41"/>
    <x v="67"/>
    <n v="4"/>
    <s v="No"/>
    <s v="model 2 &amp; model 2 TH"/>
    <x v="121"/>
  </r>
  <r>
    <s v="Linde Gmbh "/>
    <s v="Nabaltec"/>
    <x v="1"/>
    <n v="1720"/>
    <n v="24"/>
    <n v="40"/>
    <n v="8"/>
    <n v="4"/>
    <x v="1"/>
    <n v="22"/>
    <x v="68"/>
    <n v="4"/>
    <s v="No"/>
    <s v="model 3 GW"/>
    <x v="122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3"/>
  </r>
  <r>
    <m/>
    <m/>
    <x v="3"/>
    <m/>
    <m/>
    <m/>
    <m/>
    <m/>
    <x v="11"/>
    <m/>
    <x v="69"/>
    <m/>
    <m/>
    <m/>
    <x v="1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s v="PM Group"/>
    <s v="Frigo"/>
    <x v="0"/>
    <x v="0"/>
    <x v="0"/>
    <x v="0"/>
    <x v="0"/>
    <n v="5"/>
    <x v="0"/>
    <n v="50"/>
    <x v="0"/>
    <n v="5"/>
    <s v="No"/>
    <m/>
    <x v="0"/>
    <x v="0"/>
    <n v="1"/>
  </r>
  <r>
    <s v="Daifuku US"/>
    <s v="Southwire"/>
    <x v="1"/>
    <x v="1"/>
    <x v="1"/>
    <x v="1"/>
    <x v="0"/>
    <n v="6"/>
    <x v="1"/>
    <n v="150"/>
    <x v="1"/>
    <n v="6"/>
    <s v="No"/>
    <m/>
    <x v="1"/>
    <x v="1"/>
    <n v="1"/>
  </r>
  <r>
    <s v="Daifuku US"/>
    <s v="Southwire"/>
    <x v="1"/>
    <x v="2"/>
    <x v="1"/>
    <x v="2"/>
    <x v="0"/>
    <n v="6"/>
    <x v="2"/>
    <n v="150"/>
    <x v="1"/>
    <n v="12"/>
    <s v="No"/>
    <m/>
    <x v="2"/>
    <x v="2"/>
    <n v="2"/>
  </r>
  <r>
    <s v="Daifuku US"/>
    <s v="Southwire"/>
    <x v="1"/>
    <x v="3"/>
    <x v="1"/>
    <x v="3"/>
    <x v="0"/>
    <n v="6"/>
    <x v="2"/>
    <n v="150"/>
    <x v="1"/>
    <n v="12"/>
    <s v="No"/>
    <m/>
    <x v="3"/>
    <x v="3"/>
    <n v="2"/>
  </r>
  <r>
    <s v="KION ITS DE"/>
    <s v="Westfalia-Spalding"/>
    <x v="0"/>
    <x v="4"/>
    <x v="2"/>
    <x v="4"/>
    <x v="1"/>
    <n v="3"/>
    <x v="2"/>
    <n v="20"/>
    <x v="2"/>
    <n v="4"/>
    <s v="No"/>
    <m/>
    <x v="4"/>
    <x v="4"/>
    <n v="2"/>
  </r>
  <r>
    <s v="Dematic NA"/>
    <s v="Riverview_Stevens Milk Plant"/>
    <x v="0"/>
    <x v="5"/>
    <x v="3"/>
    <x v="5"/>
    <x v="2"/>
    <n v="6"/>
    <x v="0"/>
    <n v="58"/>
    <x v="3"/>
    <n v="4"/>
    <s v="No"/>
    <m/>
    <x v="5"/>
    <x v="5"/>
    <n v="1"/>
  </r>
  <r>
    <s v="Viastore ES"/>
    <s v="France ASRS"/>
    <x v="0"/>
    <x v="6"/>
    <x v="4"/>
    <x v="6"/>
    <x v="3"/>
    <n v="4"/>
    <x v="2"/>
    <n v="34"/>
    <x v="4"/>
    <n v="5"/>
    <s v="No"/>
    <m/>
    <x v="6"/>
    <x v="6"/>
    <n v="2"/>
  </r>
  <r>
    <s v="Wipro Ferretto IT"/>
    <s v="Magazzino -25°C"/>
    <x v="0"/>
    <x v="7"/>
    <x v="2"/>
    <x v="7"/>
    <x v="4"/>
    <n v="4"/>
    <x v="1"/>
    <n v="19"/>
    <x v="5"/>
    <n v="4"/>
    <s v="Si"/>
    <s v=" (-25° C)"/>
    <x v="7"/>
    <x v="7"/>
    <n v="1"/>
  </r>
  <r>
    <s v="LCS IT"/>
    <s v="Magazzino automatico LCS"/>
    <x v="1"/>
    <x v="8"/>
    <x v="5"/>
    <x v="8"/>
    <x v="5"/>
    <n v="9"/>
    <x v="1"/>
    <n v="34"/>
    <x v="6"/>
    <n v="9"/>
    <s v="No"/>
    <m/>
    <x v="8"/>
    <x v="8"/>
    <n v="1"/>
  </r>
  <r>
    <s v="LCS IT"/>
    <s v="Magazzino automatico LCS"/>
    <x v="0"/>
    <x v="8"/>
    <x v="6"/>
    <x v="9"/>
    <x v="5"/>
    <n v="9"/>
    <x v="1"/>
    <n v="34"/>
    <x v="6"/>
    <n v="9"/>
    <s v="No"/>
    <m/>
    <x v="9"/>
    <x v="9"/>
    <n v="1"/>
  </r>
  <r>
    <s v="Linde  IT"/>
    <s v="OCM Packaging"/>
    <x v="0"/>
    <x v="9"/>
    <x v="7"/>
    <x v="10"/>
    <x v="6"/>
    <n v="5"/>
    <x v="3"/>
    <n v="53"/>
    <x v="7"/>
    <n v="5"/>
    <s v="No"/>
    <m/>
    <x v="10"/>
    <x v="10"/>
    <n v="1"/>
  </r>
  <r>
    <s v="Linde  DE"/>
    <s v="Bristol Beverage"/>
    <x v="0"/>
    <x v="10"/>
    <x v="7"/>
    <x v="11"/>
    <x v="7"/>
    <n v="6"/>
    <x v="4"/>
    <n v="39"/>
    <x v="8"/>
    <n v="6"/>
    <s v="No"/>
    <m/>
    <x v="11"/>
    <x v="11"/>
    <n v="1"/>
  </r>
  <r>
    <s v="Linde  DE"/>
    <s v="Bristol Beverage"/>
    <x v="0"/>
    <x v="10"/>
    <x v="7"/>
    <x v="11"/>
    <x v="7"/>
    <n v="6"/>
    <x v="4"/>
    <n v="39"/>
    <x v="1"/>
    <n v="10"/>
    <s v="No"/>
    <m/>
    <x v="11"/>
    <x v="11"/>
    <n v="2"/>
  </r>
  <r>
    <s v="Linde  DE"/>
    <s v="Bristol Beverage"/>
    <x v="0"/>
    <x v="11"/>
    <x v="8"/>
    <x v="12"/>
    <x v="7"/>
    <n v="6"/>
    <x v="5"/>
    <n v="39"/>
    <x v="8"/>
    <n v="6"/>
    <s v="No"/>
    <m/>
    <x v="12"/>
    <x v="12"/>
    <n v="1"/>
  </r>
  <r>
    <s v="Linde  DE"/>
    <s v="Bristol Beverage"/>
    <x v="0"/>
    <x v="11"/>
    <x v="8"/>
    <x v="11"/>
    <x v="7"/>
    <n v="6"/>
    <x v="5"/>
    <n v="39"/>
    <x v="1"/>
    <n v="9"/>
    <s v="No"/>
    <m/>
    <x v="13"/>
    <x v="13"/>
    <n v="2"/>
  </r>
  <r>
    <s v="Toyota BE"/>
    <s v="BiscuiterieThijs"/>
    <x v="0"/>
    <x v="12"/>
    <x v="9"/>
    <x v="13"/>
    <x v="8"/>
    <n v="9"/>
    <x v="0"/>
    <n v="48"/>
    <x v="9"/>
    <n v="18"/>
    <s v="No"/>
    <m/>
    <x v="14"/>
    <x v="14"/>
    <n v="2"/>
  </r>
  <r>
    <s v="Linde  DE"/>
    <s v="Bristol Beverage"/>
    <x v="0"/>
    <x v="13"/>
    <x v="10"/>
    <x v="14"/>
    <x v="7"/>
    <n v="6"/>
    <x v="0"/>
    <n v="68"/>
    <x v="8"/>
    <n v="6"/>
    <s v="No"/>
    <m/>
    <x v="15"/>
    <x v="15"/>
    <n v="1"/>
  </r>
  <r>
    <s v="Linde  DE"/>
    <s v="Bristol Beverage"/>
    <x v="0"/>
    <x v="13"/>
    <x v="10"/>
    <x v="14"/>
    <x v="7"/>
    <n v="6"/>
    <x v="0"/>
    <n v="68"/>
    <x v="1"/>
    <n v="9"/>
    <s v="No"/>
    <m/>
    <x v="15"/>
    <x v="15"/>
    <n v="2"/>
  </r>
  <r>
    <s v="Still PL"/>
    <s v="Intersnack"/>
    <x v="1"/>
    <x v="14"/>
    <x v="11"/>
    <x v="15"/>
    <x v="0"/>
    <n v="4"/>
    <x v="0"/>
    <n v="75"/>
    <x v="10"/>
    <n v="12"/>
    <s v="No"/>
    <m/>
    <x v="16"/>
    <x v="16"/>
    <n v="3"/>
  </r>
  <r>
    <s v="Still PL"/>
    <s v="Intersnack"/>
    <x v="1"/>
    <x v="14"/>
    <x v="12"/>
    <x v="16"/>
    <x v="0"/>
    <n v="4"/>
    <x v="0"/>
    <n v="49"/>
    <x v="11"/>
    <n v="12"/>
    <s v="No"/>
    <m/>
    <x v="17"/>
    <x v="17"/>
    <n v="3"/>
  </r>
  <r>
    <s v="Still PL"/>
    <s v="Intersnack"/>
    <x v="1"/>
    <x v="15"/>
    <x v="11"/>
    <x v="15"/>
    <x v="9"/>
    <n v="5"/>
    <x v="0"/>
    <n v="75"/>
    <x v="10"/>
    <n v="12"/>
    <s v="No"/>
    <m/>
    <x v="18"/>
    <x v="16"/>
    <n v="3"/>
  </r>
  <r>
    <s v="Still PL"/>
    <s v="Intersnack"/>
    <x v="1"/>
    <x v="15"/>
    <x v="12"/>
    <x v="16"/>
    <x v="9"/>
    <n v="5"/>
    <x v="2"/>
    <n v="49"/>
    <x v="12"/>
    <n v="8"/>
    <s v="No"/>
    <m/>
    <x v="19"/>
    <x v="17"/>
    <n v="2"/>
  </r>
  <r>
    <s v="Still PL"/>
    <s v="Intersnack"/>
    <x v="1"/>
    <x v="16"/>
    <x v="11"/>
    <x v="17"/>
    <x v="6"/>
    <n v="6"/>
    <x v="2"/>
    <n v="46"/>
    <x v="12"/>
    <n v="8"/>
    <s v="No"/>
    <m/>
    <x v="20"/>
    <x v="18"/>
    <n v="2"/>
  </r>
  <r>
    <s v="Still PL"/>
    <s v="Intersnack"/>
    <x v="1"/>
    <x v="16"/>
    <x v="13"/>
    <x v="16"/>
    <x v="6"/>
    <n v="6"/>
    <x v="0"/>
    <n v="68"/>
    <x v="13"/>
    <n v="12"/>
    <s v="No"/>
    <m/>
    <x v="21"/>
    <x v="19"/>
    <n v="3"/>
  </r>
  <r>
    <s v="Savoye UAE"/>
    <s v="Water Bottle"/>
    <x v="0"/>
    <x v="17"/>
    <x v="6"/>
    <x v="18"/>
    <x v="8"/>
    <n v="9"/>
    <x v="5"/>
    <n v="35"/>
    <x v="14"/>
    <n v="15"/>
    <s v="No"/>
    <m/>
    <x v="22"/>
    <x v="20"/>
    <n v="2"/>
  </r>
  <r>
    <s v="Bastian US"/>
    <s v="Test_1"/>
    <x v="1"/>
    <x v="18"/>
    <x v="14"/>
    <x v="19"/>
    <x v="10"/>
    <n v="7"/>
    <x v="2"/>
    <n v="104"/>
    <x v="15"/>
    <n v="14"/>
    <s v="Si"/>
    <s v="(-26°C)"/>
    <x v="23"/>
    <x v="21"/>
    <n v="2"/>
  </r>
  <r>
    <s v="Bastian US"/>
    <s v="Test_1"/>
    <x v="1"/>
    <x v="19"/>
    <x v="14"/>
    <x v="20"/>
    <x v="10"/>
    <n v="7"/>
    <x v="0"/>
    <n v="102"/>
    <x v="15"/>
    <n v="21"/>
    <s v="Si"/>
    <s v="(-26°C)"/>
    <x v="24"/>
    <x v="22"/>
    <n v="3"/>
  </r>
  <r>
    <s v="Bastian US"/>
    <s v="Test_1"/>
    <x v="1"/>
    <x v="20"/>
    <x v="14"/>
    <x v="21"/>
    <x v="10"/>
    <n v="6"/>
    <x v="0"/>
    <n v="102"/>
    <x v="15"/>
    <n v="18"/>
    <s v="Si"/>
    <s v="(-26°C)"/>
    <x v="25"/>
    <x v="23"/>
    <n v="3"/>
  </r>
  <r>
    <s v="Fortna UK"/>
    <s v="Bronderslev"/>
    <x v="0"/>
    <x v="21"/>
    <x v="15"/>
    <x v="7"/>
    <x v="11"/>
    <n v="5"/>
    <x v="2"/>
    <n v="41"/>
    <x v="16"/>
    <n v="4"/>
    <s v="No"/>
    <m/>
    <x v="26"/>
    <x v="24"/>
    <n v="1"/>
  </r>
  <r>
    <s v="Bastian US"/>
    <s v="Test_2"/>
    <x v="0"/>
    <x v="22"/>
    <x v="16"/>
    <x v="21"/>
    <x v="9"/>
    <n v="7"/>
    <x v="3"/>
    <n v="52"/>
    <x v="17"/>
    <n v="6"/>
    <s v="No"/>
    <m/>
    <x v="27"/>
    <x v="25"/>
    <n v="1"/>
  </r>
  <r>
    <s v="Bastian US"/>
    <s v="Test_2"/>
    <x v="0"/>
    <x v="23"/>
    <x v="16"/>
    <x v="22"/>
    <x v="9"/>
    <n v="7"/>
    <x v="4"/>
    <n v="80"/>
    <x v="17"/>
    <n v="8"/>
    <s v="No"/>
    <m/>
    <x v="28"/>
    <x v="26"/>
    <n v="2"/>
  </r>
  <r>
    <s v="LCS IT"/>
    <s v="Magazzino automatico LCS"/>
    <x v="0"/>
    <x v="24"/>
    <x v="6"/>
    <x v="23"/>
    <x v="5"/>
    <n v="9"/>
    <x v="0"/>
    <n v="33"/>
    <x v="6"/>
    <n v="9"/>
    <s v="No"/>
    <m/>
    <x v="29"/>
    <x v="27"/>
    <n v="1"/>
  </r>
  <r>
    <s v="Bastian US"/>
    <s v="Test_1"/>
    <x v="0"/>
    <x v="25"/>
    <x v="17"/>
    <x v="24"/>
    <x v="10"/>
    <n v="7"/>
    <x v="3"/>
    <n v="98"/>
    <x v="15"/>
    <n v="21"/>
    <s v="Si"/>
    <s v="(-26°C)"/>
    <x v="30"/>
    <x v="28"/>
    <n v="3"/>
  </r>
  <r>
    <s v="Still SR"/>
    <s v="Lear Bratislava"/>
    <x v="1"/>
    <x v="26"/>
    <x v="18"/>
    <x v="9"/>
    <x v="12"/>
    <n v="6"/>
    <x v="1"/>
    <n v="11"/>
    <x v="18"/>
    <n v="6"/>
    <s v="No"/>
    <m/>
    <x v="31"/>
    <x v="29"/>
    <n v="1"/>
  </r>
  <r>
    <s v="TGW Gmbh"/>
    <s v="Test_1"/>
    <x v="1"/>
    <x v="27"/>
    <x v="15"/>
    <x v="15"/>
    <x v="13"/>
    <n v="2"/>
    <x v="6"/>
    <n v="85"/>
    <x v="19"/>
    <n v="16"/>
    <s v="No"/>
    <m/>
    <x v="32"/>
    <x v="30"/>
    <n v="8"/>
  </r>
  <r>
    <s v="TGW Gmbh"/>
    <s v="Test_2"/>
    <x v="1"/>
    <x v="28"/>
    <x v="19"/>
    <x v="25"/>
    <x v="14"/>
    <n v="8"/>
    <x v="0"/>
    <n v="112"/>
    <x v="20"/>
    <n v="24"/>
    <s v="No"/>
    <m/>
    <x v="33"/>
    <x v="31"/>
    <n v="3"/>
  </r>
  <r>
    <s v="MINDA"/>
    <s v="Sao Paolo"/>
    <x v="1"/>
    <x v="29"/>
    <x v="20"/>
    <x v="26"/>
    <x v="0"/>
    <n v="6"/>
    <x v="2"/>
    <n v="35"/>
    <x v="21"/>
    <n v="12"/>
    <s v="No"/>
    <m/>
    <x v="34"/>
    <x v="32"/>
    <n v="2"/>
  </r>
  <r>
    <s v="Still PL"/>
    <s v="Beiersdorf"/>
    <x v="1"/>
    <x v="30"/>
    <x v="11"/>
    <x v="27"/>
    <x v="5"/>
    <n v="6"/>
    <x v="2"/>
    <n v="12"/>
    <x v="22"/>
    <n v="6"/>
    <s v="No"/>
    <m/>
    <x v="35"/>
    <x v="33"/>
    <n v="2"/>
  </r>
  <r>
    <s v="KION/Still/Linde BE"/>
    <s v="Groningen"/>
    <x v="0"/>
    <x v="31"/>
    <x v="21"/>
    <x v="27"/>
    <x v="15"/>
    <n v="15"/>
    <x v="2"/>
    <n v="45"/>
    <x v="1"/>
    <n v="12"/>
    <s v="No"/>
    <m/>
    <x v="36"/>
    <x v="34"/>
    <n v="1"/>
  </r>
  <r>
    <s v="Still CZ"/>
    <s v="HOPI Logistics"/>
    <x v="1"/>
    <x v="32"/>
    <x v="22"/>
    <x v="28"/>
    <x v="0"/>
    <n v="5"/>
    <x v="5"/>
    <n v="127"/>
    <x v="23"/>
    <n v="25"/>
    <s v="No"/>
    <m/>
    <x v="37"/>
    <x v="35"/>
    <n v="5"/>
  </r>
  <r>
    <s v="CLS"/>
    <s v="OLVAN"/>
    <x v="0"/>
    <x v="33"/>
    <x v="23"/>
    <x v="29"/>
    <x v="12"/>
    <n v="6"/>
    <x v="2"/>
    <n v="18"/>
    <x v="8"/>
    <n v="5"/>
    <s v="No"/>
    <m/>
    <x v="38"/>
    <x v="36"/>
    <n v="1"/>
  </r>
  <r>
    <s v="CLS"/>
    <s v="OLVAN"/>
    <x v="0"/>
    <x v="33"/>
    <x v="24"/>
    <x v="30"/>
    <x v="12"/>
    <n v="6"/>
    <x v="2"/>
    <n v="18"/>
    <x v="8"/>
    <n v="6"/>
    <s v="No"/>
    <m/>
    <x v="39"/>
    <x v="37"/>
    <n v="1"/>
  </r>
  <r>
    <s v="CLS"/>
    <s v="OLVAN"/>
    <x v="0"/>
    <x v="33"/>
    <x v="25"/>
    <x v="31"/>
    <x v="12"/>
    <n v="6"/>
    <x v="2"/>
    <n v="18"/>
    <x v="8"/>
    <n v="7"/>
    <s v="No"/>
    <m/>
    <x v="40"/>
    <x v="38"/>
    <n v="2"/>
  </r>
  <r>
    <s v="Viastore ES"/>
    <s v="Puig France"/>
    <x v="1"/>
    <x v="34"/>
    <x v="26"/>
    <x v="32"/>
    <x v="0"/>
    <n v="4"/>
    <x v="2"/>
    <n v="27"/>
    <x v="24"/>
    <n v="6"/>
    <s v="No"/>
    <m/>
    <x v="41"/>
    <x v="39"/>
    <n v="2"/>
  </r>
  <r>
    <s v="Viastore ES"/>
    <s v="Puig France"/>
    <x v="1"/>
    <x v="34"/>
    <x v="26"/>
    <x v="32"/>
    <x v="0"/>
    <n v="7"/>
    <x v="2"/>
    <n v="27"/>
    <x v="24"/>
    <n v="7"/>
    <s v="No"/>
    <m/>
    <x v="41"/>
    <x v="39"/>
    <n v="2"/>
  </r>
  <r>
    <s v="Dematic ES"/>
    <s v="Tenerife"/>
    <x v="1"/>
    <x v="35"/>
    <x v="27"/>
    <x v="33"/>
    <x v="16"/>
    <n v="7"/>
    <x v="1"/>
    <n v="19"/>
    <x v="25"/>
    <n v="7"/>
    <s v="No"/>
    <m/>
    <x v="42"/>
    <x v="40"/>
    <n v="1"/>
  </r>
  <r>
    <s v="LCS IT"/>
    <s v="Napoli"/>
    <x v="0"/>
    <x v="36"/>
    <x v="28"/>
    <x v="32"/>
    <x v="17"/>
    <n v="8"/>
    <x v="2"/>
    <n v="39"/>
    <x v="26"/>
    <n v="4"/>
    <s v="No"/>
    <m/>
    <x v="43"/>
    <x v="41"/>
    <n v="1"/>
  </r>
  <r>
    <s v="Viastore FR"/>
    <s v="Project  241624"/>
    <x v="1"/>
    <x v="37"/>
    <x v="29"/>
    <x v="32"/>
    <x v="10"/>
    <n v="8"/>
    <x v="2"/>
    <n v="45"/>
    <x v="27"/>
    <n v="16"/>
    <s v="No"/>
    <m/>
    <x v="44"/>
    <x v="42"/>
    <n v="2"/>
  </r>
  <r>
    <s v="Linde Gmbh "/>
    <s v="Greece_Zodiac"/>
    <x v="0"/>
    <x v="38"/>
    <x v="15"/>
    <x v="34"/>
    <x v="3"/>
    <n v="4"/>
    <x v="0"/>
    <n v="21"/>
    <x v="22"/>
    <n v="10"/>
    <s v="No"/>
    <m/>
    <x v="45"/>
    <x v="43"/>
    <n v="3"/>
  </r>
  <r>
    <s v="Cassioli"/>
    <s v="Bakery"/>
    <x v="0"/>
    <x v="39"/>
    <x v="30"/>
    <x v="35"/>
    <x v="6"/>
    <n v="5"/>
    <x v="2"/>
    <n v="19"/>
    <x v="28"/>
    <n v="6"/>
    <s v="Si"/>
    <s v="(-25°C)"/>
    <x v="46"/>
    <x v="44"/>
    <n v="2"/>
  </r>
  <r>
    <s v="INCAS - SSI Schaefer"/>
    <s v="Bolzano"/>
    <x v="0"/>
    <x v="40"/>
    <x v="31"/>
    <x v="36"/>
    <x v="6"/>
    <n v="6"/>
    <x v="2"/>
    <n v="35"/>
    <x v="3"/>
    <n v="4"/>
    <s v="No"/>
    <m/>
    <x v="47"/>
    <x v="45"/>
    <n v="1"/>
  </r>
  <r>
    <s v="INCAS - SSI Schaefer"/>
    <s v="Bolzano"/>
    <x v="0"/>
    <x v="0"/>
    <x v="31"/>
    <x v="36"/>
    <x v="6"/>
    <n v="6"/>
    <x v="2"/>
    <n v="35"/>
    <x v="3"/>
    <n v="5"/>
    <s v="No"/>
    <m/>
    <x v="47"/>
    <x v="45"/>
    <n v="1"/>
  </r>
  <r>
    <s v="INCAS - SSI Schaefer"/>
    <s v="Bolzano"/>
    <x v="1"/>
    <x v="41"/>
    <x v="31"/>
    <x v="13"/>
    <x v="6"/>
    <n v="6"/>
    <x v="1"/>
    <n v="33"/>
    <x v="3"/>
    <n v="6"/>
    <s v="No"/>
    <m/>
    <x v="48"/>
    <x v="27"/>
    <n v="1"/>
  </r>
  <r>
    <s v="INCAS - SSI Schaefer"/>
    <s v="Bolzano"/>
    <x v="1"/>
    <x v="42"/>
    <x v="31"/>
    <x v="13"/>
    <x v="6"/>
    <n v="6"/>
    <x v="1"/>
    <n v="33"/>
    <x v="3"/>
    <n v="6"/>
    <s v="No"/>
    <m/>
    <x v="48"/>
    <x v="27"/>
    <n v="1"/>
  </r>
  <r>
    <s v="Viastore ES"/>
    <s v="Netherlands Fruits"/>
    <x v="1"/>
    <x v="43"/>
    <x v="16"/>
    <x v="37"/>
    <x v="18"/>
    <n v="9"/>
    <x v="7"/>
    <n v="39"/>
    <x v="29"/>
    <n v="36"/>
    <s v="No"/>
    <m/>
    <x v="49"/>
    <x v="46"/>
    <n v="4"/>
  </r>
  <r>
    <s v="Viastore ES"/>
    <s v="Puig France"/>
    <x v="0"/>
    <x v="34"/>
    <x v="32"/>
    <x v="38"/>
    <x v="0"/>
    <n v="7"/>
    <x v="0"/>
    <n v="24"/>
    <x v="24"/>
    <n v="7"/>
    <s v="No"/>
    <m/>
    <x v="50"/>
    <x v="47"/>
    <n v="1"/>
  </r>
  <r>
    <s v="Dematic NA"/>
    <s v="Riverview"/>
    <x v="1"/>
    <x v="44"/>
    <x v="33"/>
    <x v="25"/>
    <x v="0"/>
    <n v="6"/>
    <x v="1"/>
    <n v="60"/>
    <x v="30"/>
    <n v="6"/>
    <s v="No"/>
    <m/>
    <x v="51"/>
    <x v="48"/>
    <n v="1"/>
  </r>
  <r>
    <s v="FB Industry AT"/>
    <s v="Oberburg"/>
    <x v="1"/>
    <x v="45"/>
    <x v="34"/>
    <x v="39"/>
    <x v="6"/>
    <n v="6"/>
    <x v="1"/>
    <n v="28"/>
    <x v="31"/>
    <n v="6"/>
    <s v="No"/>
    <m/>
    <x v="52"/>
    <x v="49"/>
    <n v="1"/>
  </r>
  <r>
    <s v="Dematic NA"/>
    <s v="STO Corp"/>
    <x v="1"/>
    <x v="46"/>
    <x v="35"/>
    <x v="40"/>
    <x v="19"/>
    <n v="4"/>
    <x v="1"/>
    <n v="42"/>
    <x v="16"/>
    <n v="4"/>
    <s v="No"/>
    <m/>
    <x v="53"/>
    <x v="50"/>
    <n v="1"/>
  </r>
  <r>
    <s v="Viastore ES"/>
    <s v="BiscuiterieThijs"/>
    <x v="1"/>
    <x v="12"/>
    <x v="9"/>
    <x v="13"/>
    <x v="8"/>
    <n v="8"/>
    <x v="1"/>
    <n v="48"/>
    <x v="32"/>
    <n v="8"/>
    <s v="No"/>
    <m/>
    <x v="14"/>
    <x v="14"/>
    <n v="1"/>
  </r>
  <r>
    <s v="Guven TR"/>
    <s v="Corobo Project"/>
    <x v="1"/>
    <x v="47"/>
    <x v="3"/>
    <x v="41"/>
    <x v="14"/>
    <n v="10"/>
    <x v="0"/>
    <n v="70"/>
    <x v="33"/>
    <n v="30"/>
    <s v="No"/>
    <m/>
    <x v="54"/>
    <x v="51"/>
    <n v="3"/>
  </r>
  <r>
    <s v="KION ITS"/>
    <s v="IMP-TOLE"/>
    <x v="1"/>
    <x v="48"/>
    <x v="36"/>
    <x v="42"/>
    <x v="20"/>
    <n v="10"/>
    <x v="1"/>
    <n v="75"/>
    <x v="34"/>
    <n v="20"/>
    <s v="No"/>
    <m/>
    <x v="55"/>
    <x v="52"/>
    <n v="1"/>
  </r>
  <r>
    <s v="SSI-Schaefer"/>
    <s v="Honeylog 2"/>
    <x v="0"/>
    <x v="49"/>
    <x v="37"/>
    <x v="43"/>
    <x v="21"/>
    <n v="17"/>
    <x v="7"/>
    <n v="69"/>
    <x v="35"/>
    <n v="34"/>
    <s v="No"/>
    <m/>
    <x v="56"/>
    <x v="53"/>
    <n v="2"/>
  </r>
  <r>
    <s v="Still DE"/>
    <s v="IMP-TOLE"/>
    <x v="1"/>
    <x v="50"/>
    <x v="38"/>
    <x v="42"/>
    <x v="20"/>
    <n v="10"/>
    <x v="1"/>
    <n v="75"/>
    <x v="34"/>
    <n v="10"/>
    <s v="No"/>
    <m/>
    <x v="57"/>
    <x v="54"/>
    <n v="1"/>
  </r>
  <r>
    <s v="Bastian US"/>
    <s v="Strathroy"/>
    <x v="0"/>
    <x v="51"/>
    <x v="11"/>
    <x v="4"/>
    <x v="22"/>
    <n v="6"/>
    <x v="2"/>
    <n v="16"/>
    <x v="36"/>
    <n v="5"/>
    <s v="No"/>
    <m/>
    <x v="58"/>
    <x v="55"/>
    <n v="1"/>
  </r>
  <r>
    <s v="Bastian US"/>
    <s v="Strathroy"/>
    <x v="0"/>
    <x v="52"/>
    <x v="39"/>
    <x v="4"/>
    <x v="22"/>
    <n v="6"/>
    <x v="2"/>
    <n v="38"/>
    <x v="37"/>
    <n v="6"/>
    <s v="No"/>
    <m/>
    <x v="59"/>
    <x v="56"/>
    <n v="1"/>
  </r>
  <r>
    <s v="Dematic NA"/>
    <s v="Riverview"/>
    <x v="1"/>
    <x v="44"/>
    <x v="25"/>
    <x v="25"/>
    <x v="0"/>
    <n v="5"/>
    <x v="1"/>
    <s v="55-60"/>
    <x v="38"/>
    <n v="5"/>
    <s v="No"/>
    <m/>
    <x v="60"/>
    <x v="57"/>
    <n v="1"/>
  </r>
  <r>
    <s v="TGW Gmbh"/>
    <s v="Test_1"/>
    <x v="1"/>
    <x v="27"/>
    <x v="15"/>
    <x v="44"/>
    <x v="13"/>
    <n v="2"/>
    <x v="8"/>
    <n v="85"/>
    <x v="19"/>
    <n v="18"/>
    <s v="No"/>
    <m/>
    <x v="61"/>
    <x v="58"/>
    <n v="9"/>
  </r>
  <r>
    <s v="TGW Gmbh"/>
    <s v="Test_2"/>
    <x v="1"/>
    <x v="28"/>
    <x v="40"/>
    <x v="25"/>
    <x v="14"/>
    <n v="8"/>
    <x v="0"/>
    <n v="120"/>
    <x v="20"/>
    <n v="24"/>
    <s v="No"/>
    <m/>
    <x v="62"/>
    <x v="59"/>
    <n v="3"/>
  </r>
  <r>
    <s v="Linde Al Fuittam EAU"/>
    <s v="Ahmad Tea"/>
    <x v="0"/>
    <x v="53"/>
    <x v="41"/>
    <x v="20"/>
    <x v="23"/>
    <n v="10"/>
    <x v="0"/>
    <n v="52"/>
    <x v="39"/>
    <n v="8"/>
    <s v="No"/>
    <m/>
    <x v="63"/>
    <x v="60"/>
    <n v="1"/>
  </r>
  <r>
    <s v="Still PL"/>
    <s v="United Petfood"/>
    <x v="0"/>
    <x v="54"/>
    <x v="42"/>
    <x v="45"/>
    <x v="0"/>
    <n v="5"/>
    <x v="1"/>
    <n v="42"/>
    <x v="39"/>
    <n v="5"/>
    <s v="No"/>
    <m/>
    <x v="64"/>
    <x v="61"/>
    <n v="1"/>
  </r>
  <r>
    <s v="Still PL"/>
    <s v="United Petfood"/>
    <x v="0"/>
    <x v="54"/>
    <x v="43"/>
    <x v="45"/>
    <x v="0"/>
    <n v="5"/>
    <x v="2"/>
    <n v="42"/>
    <x v="25"/>
    <n v="6"/>
    <s v="No"/>
    <m/>
    <x v="65"/>
    <x v="62"/>
    <n v="2"/>
  </r>
  <r>
    <s v="Still PL"/>
    <s v="United Petfood"/>
    <x v="1"/>
    <x v="54"/>
    <x v="42"/>
    <x v="45"/>
    <x v="0"/>
    <n v="5"/>
    <x v="1"/>
    <n v="42"/>
    <x v="39"/>
    <n v="5"/>
    <s v="No"/>
    <m/>
    <x v="64"/>
    <x v="61"/>
    <n v="1"/>
  </r>
  <r>
    <s v="Still PL"/>
    <s v="United Petfood"/>
    <x v="1"/>
    <x v="54"/>
    <x v="42"/>
    <x v="33"/>
    <x v="0"/>
    <n v="5"/>
    <x v="1"/>
    <n v="42"/>
    <x v="25"/>
    <n v="5"/>
    <s v="No"/>
    <m/>
    <x v="66"/>
    <x v="63"/>
    <n v="1"/>
  </r>
  <r>
    <s v="Cassioli IT"/>
    <s v="Bakery"/>
    <x v="0"/>
    <x v="55"/>
    <x v="27"/>
    <x v="46"/>
    <x v="6"/>
    <n v="5"/>
    <x v="0"/>
    <n v="19"/>
    <x v="28"/>
    <n v="6"/>
    <s v="Si"/>
    <s v="(-25°C)"/>
    <x v="48"/>
    <x v="27"/>
    <n v="2"/>
  </r>
  <r>
    <s v="TGW Gmbh"/>
    <s v="Neuenburg am Rhein"/>
    <x v="1"/>
    <x v="56"/>
    <x v="44"/>
    <x v="47"/>
    <x v="9"/>
    <n v="3"/>
    <x v="2"/>
    <n v="60"/>
    <x v="40"/>
    <n v="12"/>
    <s v="No"/>
    <m/>
    <x v="67"/>
    <x v="64"/>
    <n v="2"/>
  </r>
  <r>
    <s v="Dematic NA"/>
    <s v="Dense Storage"/>
    <x v="1"/>
    <x v="57"/>
    <x v="13"/>
    <x v="48"/>
    <x v="24"/>
    <n v="5"/>
    <x v="1"/>
    <n v="63"/>
    <x v="22"/>
    <n v="5"/>
    <s v="No"/>
    <m/>
    <x v="68"/>
    <x v="65"/>
    <n v="1"/>
  </r>
  <r>
    <s v="Dematic DE"/>
    <s v="Ashkelon"/>
    <x v="2"/>
    <x v="58"/>
    <x v="3"/>
    <x v="49"/>
    <x v="25"/>
    <n v="10"/>
    <x v="2"/>
    <n v="64"/>
    <x v="41"/>
    <n v="20"/>
    <s v="No"/>
    <s v="V"/>
    <x v="69"/>
    <x v="66"/>
    <n v="2"/>
  </r>
  <r>
    <s v="Dematic DE"/>
    <s v="Ashkelon"/>
    <x v="0"/>
    <x v="59"/>
    <x v="45"/>
    <x v="50"/>
    <x v="25"/>
    <n v="10"/>
    <x v="0"/>
    <n v="62"/>
    <x v="41"/>
    <n v="44"/>
    <s v="No"/>
    <s v="V"/>
    <x v="70"/>
    <x v="67"/>
    <n v="5"/>
  </r>
  <r>
    <s v="Aiut PL"/>
    <s v="Shuttle Warehouse"/>
    <x v="0"/>
    <x v="60"/>
    <x v="46"/>
    <x v="34"/>
    <x v="26"/>
    <n v="7"/>
    <x v="2"/>
    <n v="24"/>
    <x v="42"/>
    <n v="3"/>
    <s v="No"/>
    <m/>
    <x v="71"/>
    <x v="68"/>
    <n v="1"/>
  </r>
  <r>
    <s v="Aiut PL"/>
    <s v="Shuttle Warehouse"/>
    <x v="0"/>
    <x v="60"/>
    <x v="46"/>
    <x v="34"/>
    <x v="26"/>
    <n v="7"/>
    <x v="2"/>
    <n v="24"/>
    <x v="43"/>
    <n v="1"/>
    <s v="No"/>
    <s v="TH"/>
    <x v="71"/>
    <x v="68"/>
    <n v="1"/>
  </r>
  <r>
    <s v="Aiut PL"/>
    <s v="Shuttle Warehouse"/>
    <x v="0"/>
    <x v="60"/>
    <x v="46"/>
    <x v="34"/>
    <x v="26"/>
    <n v="7"/>
    <x v="2"/>
    <n v="24"/>
    <x v="44"/>
    <n v="1"/>
    <s v="No"/>
    <m/>
    <x v="71"/>
    <x v="68"/>
    <n v="1"/>
  </r>
  <r>
    <s v="Aiut PL"/>
    <s v="Shuttle Warehouse"/>
    <x v="0"/>
    <x v="60"/>
    <x v="46"/>
    <x v="34"/>
    <x v="26"/>
    <n v="7"/>
    <x v="2"/>
    <n v="24"/>
    <x v="44"/>
    <n v="1"/>
    <s v="No"/>
    <s v="TH"/>
    <x v="71"/>
    <x v="68"/>
    <n v="1"/>
  </r>
  <r>
    <s v="Aiut PL"/>
    <s v="Shuttle Warehouse"/>
    <x v="0"/>
    <x v="60"/>
    <x v="46"/>
    <x v="34"/>
    <x v="26"/>
    <n v="7"/>
    <x v="2"/>
    <n v="24"/>
    <x v="45"/>
    <n v="1"/>
    <s v="No"/>
    <m/>
    <x v="71"/>
    <x v="68"/>
    <n v="1"/>
  </r>
  <r>
    <s v="Still CZ"/>
    <s v="Cosmonde RGQ"/>
    <x v="0"/>
    <x v="61"/>
    <x v="35"/>
    <x v="46"/>
    <x v="6"/>
    <n v="7"/>
    <x v="2"/>
    <n v="21"/>
    <x v="18"/>
    <n v="5"/>
    <s v="No"/>
    <m/>
    <x v="72"/>
    <x v="61"/>
    <n v="1"/>
  </r>
  <r>
    <s v="Viastore ES"/>
    <s v="BiscuiterieThijs"/>
    <x v="1"/>
    <x v="12"/>
    <x v="9"/>
    <x v="13"/>
    <x v="8"/>
    <n v="8"/>
    <x v="1"/>
    <n v="48"/>
    <x v="32"/>
    <n v="10"/>
    <s v="No"/>
    <m/>
    <x v="14"/>
    <x v="14"/>
    <n v="1"/>
  </r>
  <r>
    <s v="Viastore ES"/>
    <s v="Barcelona"/>
    <x v="0"/>
    <x v="62"/>
    <x v="47"/>
    <x v="51"/>
    <x v="27"/>
    <n v="4"/>
    <x v="5"/>
    <n v="69"/>
    <x v="8"/>
    <n v="12"/>
    <s v="No"/>
    <s v="NW"/>
    <x v="73"/>
    <x v="30"/>
    <n v="3"/>
  </r>
  <r>
    <s v="Dematic DE"/>
    <s v="Ashkelon"/>
    <x v="1"/>
    <x v="63"/>
    <x v="48"/>
    <x v="19"/>
    <x v="21"/>
    <n v="18"/>
    <x v="1"/>
    <n v="56"/>
    <x v="41"/>
    <n v="18"/>
    <s v="No"/>
    <s v="V"/>
    <x v="74"/>
    <x v="69"/>
    <n v="1"/>
  </r>
  <r>
    <s v="Dematic DE"/>
    <s v="Ashkelon"/>
    <x v="0"/>
    <x v="64"/>
    <x v="48"/>
    <x v="52"/>
    <x v="21"/>
    <n v="18"/>
    <x v="0"/>
    <n v="57"/>
    <x v="41"/>
    <n v="40"/>
    <s v="No"/>
    <s v="V"/>
    <x v="75"/>
    <x v="70"/>
    <n v="3"/>
  </r>
  <r>
    <s v="Dematic FR"/>
    <s v="ROM"/>
    <x v="1"/>
    <x v="65"/>
    <x v="45"/>
    <x v="53"/>
    <x v="28"/>
    <n v="9"/>
    <x v="0"/>
    <n v="53"/>
    <x v="41"/>
    <n v="27"/>
    <s v="No"/>
    <s v="F"/>
    <x v="76"/>
    <x v="71"/>
    <n v="3"/>
  </r>
  <r>
    <s v="Still IT"/>
    <s v="Vodafone"/>
    <x v="0"/>
    <x v="66"/>
    <x v="18"/>
    <x v="54"/>
    <x v="29"/>
    <n v="3"/>
    <x v="2"/>
    <n v="14"/>
    <x v="3"/>
    <n v="3"/>
    <s v="No"/>
    <m/>
    <x v="77"/>
    <x v="72"/>
    <n v="1"/>
  </r>
  <r>
    <s v="Still IT"/>
    <s v="Vodafone"/>
    <x v="0"/>
    <x v="66"/>
    <x v="24"/>
    <x v="9"/>
    <x v="29"/>
    <n v="3"/>
    <x v="2"/>
    <n v="24"/>
    <x v="3"/>
    <n v="3"/>
    <s v="No"/>
    <m/>
    <x v="78"/>
    <x v="73"/>
    <n v="1"/>
  </r>
  <r>
    <s v="Bastian US"/>
    <s v="Strathroy"/>
    <x v="0"/>
    <x v="67"/>
    <x v="49"/>
    <x v="4"/>
    <x v="14"/>
    <n v="7"/>
    <x v="2"/>
    <n v="16"/>
    <x v="25"/>
    <n v="7"/>
    <s v="No"/>
    <m/>
    <x v="79"/>
    <x v="74"/>
    <n v="1"/>
  </r>
  <r>
    <s v="Bastian US"/>
    <s v="Strathroy"/>
    <x v="0"/>
    <x v="68"/>
    <x v="15"/>
    <x v="4"/>
    <x v="14"/>
    <n v="6"/>
    <x v="2"/>
    <n v="38"/>
    <x v="8"/>
    <n v="7"/>
    <s v="No"/>
    <s v="V"/>
    <x v="80"/>
    <x v="75"/>
    <n v="2"/>
  </r>
  <r>
    <s v="Still IT"/>
    <s v="Pomus"/>
    <x v="1"/>
    <x v="66"/>
    <x v="26"/>
    <x v="34"/>
    <x v="3"/>
    <n v="3"/>
    <x v="1"/>
    <n v="25"/>
    <x v="46"/>
    <n v="3"/>
    <s v="No"/>
    <s v="F"/>
    <x v="81"/>
    <x v="76"/>
    <n v="1"/>
  </r>
  <r>
    <s v="Production Reality AU"/>
    <s v="Freezer ASRS"/>
    <x v="0"/>
    <x v="69"/>
    <x v="15"/>
    <x v="42"/>
    <x v="3"/>
    <n v="5"/>
    <x v="2"/>
    <n v="42"/>
    <x v="47"/>
    <n v="5"/>
    <s v="Si"/>
    <s v="(-20°C)"/>
    <x v="82"/>
    <x v="77"/>
    <n v="1"/>
  </r>
  <r>
    <s v="Production Reality AU"/>
    <s v="Freezer ASRS"/>
    <x v="0"/>
    <x v="70"/>
    <x v="28"/>
    <x v="55"/>
    <x v="3"/>
    <n v="5"/>
    <x v="7"/>
    <n v="40"/>
    <x v="47"/>
    <n v="9"/>
    <s v="Si"/>
    <s v="(-20°C)"/>
    <x v="83"/>
    <x v="78"/>
    <n v="2"/>
  </r>
  <r>
    <s v="Viastore ES"/>
    <s v="Barcelona"/>
    <x v="0"/>
    <x v="70"/>
    <x v="47"/>
    <x v="51"/>
    <x v="30"/>
    <n v="4"/>
    <x v="4"/>
    <n v="70"/>
    <x v="48"/>
    <n v="18"/>
    <s v="Si"/>
    <s v="NW"/>
    <x v="34"/>
    <x v="30"/>
    <n v="5"/>
  </r>
  <r>
    <s v="Cainam TWN"/>
    <s v="Toying Depot"/>
    <x v="0"/>
    <x v="71"/>
    <x v="50"/>
    <x v="6"/>
    <x v="9"/>
    <n v="9"/>
    <x v="1"/>
    <n v="13"/>
    <x v="49"/>
    <n v="4"/>
    <s v="No"/>
    <s v="TH"/>
    <x v="84"/>
    <x v="79"/>
    <n v="1"/>
  </r>
  <r>
    <s v="Cainam TWN"/>
    <s v="Yen Chow"/>
    <x v="0"/>
    <x v="67"/>
    <x v="51"/>
    <x v="29"/>
    <x v="0"/>
    <n v="11"/>
    <x v="1"/>
    <n v="21"/>
    <x v="49"/>
    <n v="4"/>
    <s v="No"/>
    <s v="TH"/>
    <x v="85"/>
    <x v="80"/>
    <n v="1"/>
  </r>
  <r>
    <s v="Degrosolution"/>
    <s v="Brescia"/>
    <x v="0"/>
    <x v="72"/>
    <x v="25"/>
    <x v="30"/>
    <x v="26"/>
    <n v="5"/>
    <x v="0"/>
    <n v="45"/>
    <x v="8"/>
    <n v="7"/>
    <s v="No"/>
    <m/>
    <x v="86"/>
    <x v="81"/>
    <n v="2"/>
  </r>
  <r>
    <s v="Production Reality AU"/>
    <s v="Freezer ASRS"/>
    <x v="0"/>
    <x v="70"/>
    <x v="52"/>
    <x v="56"/>
    <x v="3"/>
    <n v="5"/>
    <x v="2"/>
    <n v="42"/>
    <x v="47"/>
    <n v="9"/>
    <s v="Si"/>
    <s v="(-20°C)"/>
    <x v="87"/>
    <x v="82"/>
    <n v="2"/>
  </r>
  <r>
    <s v="Still GmBH"/>
    <s v="DK-S-MAE-ASTI"/>
    <x v="0"/>
    <x v="73"/>
    <x v="53"/>
    <x v="57"/>
    <x v="3"/>
    <n v="4"/>
    <x v="9"/>
    <n v="67"/>
    <x v="50"/>
    <n v="24"/>
    <s v="No"/>
    <m/>
    <x v="88"/>
    <x v="83"/>
    <n v="6"/>
  </r>
  <r>
    <s v="INCAS - SSI Schaefer"/>
    <s v="P3734 - Magazzino Pallet"/>
    <x v="1"/>
    <x v="74"/>
    <x v="23"/>
    <x v="33"/>
    <x v="11"/>
    <n v="3"/>
    <x v="1"/>
    <n v="27"/>
    <x v="51"/>
    <n v="3"/>
    <s v="No"/>
    <m/>
    <x v="89"/>
    <x v="84"/>
    <n v="1"/>
  </r>
  <r>
    <s v="Still CZ"/>
    <s v="HOPI Logistics"/>
    <x v="1"/>
    <x v="75"/>
    <x v="54"/>
    <x v="58"/>
    <x v="0"/>
    <n v="5"/>
    <x v="5"/>
    <n v="124"/>
    <x v="23"/>
    <n v="50"/>
    <s v="No"/>
    <m/>
    <x v="90"/>
    <x v="85"/>
    <n v="5"/>
  </r>
  <r>
    <s v="Linde Gmbh "/>
    <s v="Bristol Beverage [Refresco]"/>
    <x v="1"/>
    <x v="76"/>
    <x v="55"/>
    <x v="51"/>
    <x v="7"/>
    <n v="6"/>
    <x v="2"/>
    <n v="78"/>
    <x v="22"/>
    <n v="12"/>
    <s v="No"/>
    <m/>
    <x v="91"/>
    <x v="86"/>
    <n v="2"/>
  </r>
  <r>
    <s v="Bastian US"/>
    <s v="Strathroy"/>
    <x v="0"/>
    <x v="67"/>
    <x v="56"/>
    <x v="4"/>
    <x v="14"/>
    <n v="7"/>
    <x v="2"/>
    <n v="16"/>
    <x v="25"/>
    <n v="7"/>
    <s v="No"/>
    <m/>
    <x v="92"/>
    <x v="87"/>
    <n v="1"/>
  </r>
  <r>
    <s v="Bastian US"/>
    <s v="Strathroy"/>
    <x v="0"/>
    <x v="68"/>
    <x v="39"/>
    <x v="4"/>
    <x v="14"/>
    <n v="6"/>
    <x v="2"/>
    <n v="38"/>
    <x v="8"/>
    <n v="7"/>
    <s v="No"/>
    <s v="V"/>
    <x v="93"/>
    <x v="56"/>
    <n v="2"/>
  </r>
  <r>
    <s v="Koerber PT"/>
    <s v="Lyon"/>
    <x v="0"/>
    <x v="77"/>
    <x v="30"/>
    <x v="11"/>
    <x v="14"/>
    <n v="8"/>
    <x v="2"/>
    <n v="44"/>
    <x v="25"/>
    <n v="8"/>
    <s v="No"/>
    <m/>
    <x v="94"/>
    <x v="88"/>
    <n v="1"/>
  </r>
  <r>
    <s v="Koerber PT"/>
    <s v="Lyon"/>
    <x v="0"/>
    <x v="78"/>
    <x v="30"/>
    <x v="59"/>
    <x v="14"/>
    <n v="10"/>
    <x v="2"/>
    <n v="33"/>
    <x v="18"/>
    <n v="6"/>
    <s v="No"/>
    <s v="model 3"/>
    <x v="95"/>
    <x v="89"/>
    <n v="1"/>
  </r>
  <r>
    <s v="Dematic NA"/>
    <s v="Riverview"/>
    <x v="0"/>
    <x v="79"/>
    <x v="33"/>
    <x v="25"/>
    <x v="0"/>
    <n v="6"/>
    <x v="2"/>
    <n v="51"/>
    <x v="30"/>
    <n v="6"/>
    <s v="No"/>
    <m/>
    <x v="51"/>
    <x v="48"/>
    <n v="1"/>
  </r>
  <r>
    <s v="Dematic PTE"/>
    <s v="Appetite CP1"/>
    <x v="0"/>
    <x v="80"/>
    <x v="45"/>
    <x v="5"/>
    <x v="31"/>
    <n v="3"/>
    <x v="0"/>
    <n v="48"/>
    <x v="52"/>
    <n v="9"/>
    <s v="No"/>
    <m/>
    <x v="96"/>
    <x v="90"/>
    <n v="3"/>
  </r>
  <r>
    <s v="Dematic PTE"/>
    <s v="Appetite CP2 Chilled"/>
    <x v="0"/>
    <x v="81"/>
    <x v="57"/>
    <x v="60"/>
    <x v="26"/>
    <n v="5"/>
    <x v="7"/>
    <n v="52"/>
    <x v="53"/>
    <n v="4"/>
    <s v="No"/>
    <m/>
    <x v="97"/>
    <x v="91"/>
    <n v="1"/>
  </r>
  <r>
    <s v="Dematic PTE"/>
    <s v="Appetite CP3 Frozen"/>
    <x v="0"/>
    <x v="82"/>
    <x v="58"/>
    <x v="30"/>
    <x v="26"/>
    <n v="5"/>
    <x v="2"/>
    <n v="29"/>
    <x v="54"/>
    <n v="4"/>
    <s v="Si"/>
    <s v="(-18°C)"/>
    <x v="98"/>
    <x v="92"/>
    <n v="1"/>
  </r>
  <r>
    <s v="Still Gmbh - DE"/>
    <s v="Gunzburg"/>
    <x v="0"/>
    <x v="83"/>
    <x v="46"/>
    <x v="42"/>
    <x v="1"/>
    <n v="3"/>
    <x v="0"/>
    <n v="27"/>
    <x v="18"/>
    <n v="5"/>
    <s v="Si"/>
    <s v="(-22°C)"/>
    <x v="99"/>
    <x v="93"/>
    <n v="2"/>
  </r>
  <r>
    <s v="Still Gmbh - DE"/>
    <s v="Berlin"/>
    <x v="0"/>
    <x v="84"/>
    <x v="59"/>
    <x v="41"/>
    <x v="0"/>
    <n v="5"/>
    <x v="7"/>
    <n v="61"/>
    <x v="46"/>
    <n v="14"/>
    <s v="No"/>
    <m/>
    <x v="100"/>
    <x v="94"/>
    <n v="3"/>
  </r>
  <r>
    <s v="Newcold US"/>
    <s v="IN02"/>
    <x v="0"/>
    <x v="85"/>
    <x v="60"/>
    <x v="42"/>
    <x v="16"/>
    <n v="5"/>
    <x v="5"/>
    <n v="49"/>
    <x v="55"/>
    <n v="26"/>
    <s v="Sì"/>
    <s v="(-25°C)"/>
    <x v="101"/>
    <x v="95"/>
    <n v="6"/>
  </r>
  <r>
    <s v="Dematic NA"/>
    <s v="Albertsons"/>
    <x v="0"/>
    <x v="86"/>
    <x v="61"/>
    <x v="61"/>
    <x v="32"/>
    <n v="4"/>
    <x v="10"/>
    <n v="135"/>
    <x v="56"/>
    <n v="41"/>
    <s v="No"/>
    <s v="NW"/>
    <x v="102"/>
    <x v="96"/>
    <n v="11"/>
  </r>
  <r>
    <s v="Toyota UK"/>
    <s v="Surya Food"/>
    <x v="0"/>
    <x v="87"/>
    <x v="62"/>
    <x v="60"/>
    <x v="5"/>
    <n v="7"/>
    <x v="7"/>
    <n v="84"/>
    <x v="57"/>
    <n v="7"/>
    <s v="No"/>
    <s v="V"/>
    <x v="103"/>
    <x v="97"/>
    <n v="1"/>
  </r>
  <r>
    <s v="Dematic NA"/>
    <s v="Albertsons"/>
    <x v="0"/>
    <x v="88"/>
    <x v="61"/>
    <x v="62"/>
    <x v="32"/>
    <n v="4"/>
    <x v="10"/>
    <n v="135"/>
    <x v="56"/>
    <n v="41"/>
    <s v="No"/>
    <s v="NW"/>
    <x v="104"/>
    <x v="98"/>
    <n v="11"/>
  </r>
  <r>
    <s v="APA Group PL"/>
    <s v="K+N transport"/>
    <x v="0"/>
    <x v="89"/>
    <x v="11"/>
    <x v="7"/>
    <x v="33"/>
    <n v="1"/>
    <x v="2"/>
    <n v="17"/>
    <x v="30"/>
    <n v="2"/>
    <s v="No"/>
    <m/>
    <x v="105"/>
    <x v="99"/>
    <n v="2"/>
  </r>
  <r>
    <s v="System Logistics IT"/>
    <s v="SLC-RBARI Arizona (beverage)"/>
    <x v="0"/>
    <x v="90"/>
    <x v="8"/>
    <x v="41"/>
    <x v="0"/>
    <n v="5"/>
    <x v="4"/>
    <n v="72"/>
    <x v="58"/>
    <n v="39"/>
    <s v="No"/>
    <s v="NW"/>
    <x v="106"/>
    <x v="100"/>
    <n v="8"/>
  </r>
  <r>
    <s v="NewCold US"/>
    <s v="IN02"/>
    <x v="0"/>
    <x v="91"/>
    <x v="63"/>
    <x v="42"/>
    <x v="16"/>
    <n v="6"/>
    <x v="6"/>
    <n v="52"/>
    <x v="55"/>
    <n v="30"/>
    <s v="Sì"/>
    <s v="con reshuffling"/>
    <x v="107"/>
    <x v="101"/>
    <n v="5"/>
  </r>
  <r>
    <s v="NewCold US"/>
    <s v="IN02"/>
    <x v="0"/>
    <x v="91"/>
    <x v="64"/>
    <x v="5"/>
    <x v="16"/>
    <n v="6"/>
    <x v="6"/>
    <n v="52"/>
    <x v="55"/>
    <n v="26"/>
    <s v="Sì"/>
    <s v="senza reshuffling"/>
    <x v="108"/>
    <x v="102"/>
    <n v="5"/>
  </r>
  <r>
    <s v="Still IT"/>
    <s v="Mirage"/>
    <x v="0"/>
    <x v="92"/>
    <x v="29"/>
    <x v="6"/>
    <x v="0"/>
    <n v="9"/>
    <x v="2"/>
    <n v="37"/>
    <x v="59"/>
    <n v="8"/>
    <s v="No"/>
    <s v="senza reshuffling"/>
    <x v="109"/>
    <x v="103"/>
    <n v="1"/>
  </r>
  <r>
    <s v="Still IT"/>
    <s v="Mirage"/>
    <x v="0"/>
    <x v="93"/>
    <x v="29"/>
    <x v="31"/>
    <x v="0"/>
    <n v="8"/>
    <x v="7"/>
    <n v="46"/>
    <x v="60"/>
    <n v="14"/>
    <s v="No"/>
    <s v="senza reshuffling"/>
    <x v="110"/>
    <x v="104"/>
    <n v="2"/>
  </r>
  <r>
    <s v="Viastore ES"/>
    <s v="Screwfix"/>
    <x v="0"/>
    <x v="94"/>
    <x v="6"/>
    <x v="63"/>
    <x v="5"/>
    <n v="8"/>
    <x v="6"/>
    <n v="35"/>
    <x v="61"/>
    <n v="4"/>
    <s v="No"/>
    <m/>
    <x v="111"/>
    <x v="105"/>
    <n v="1"/>
  </r>
  <r>
    <s v="Still Gmbh - DE"/>
    <s v="Berlin (TOT - Phase 3)"/>
    <x v="0"/>
    <x v="84"/>
    <x v="8"/>
    <x v="64"/>
    <x v="0"/>
    <n v="5"/>
    <x v="7"/>
    <n v="61"/>
    <x v="46"/>
    <n v="11"/>
    <s v="No"/>
    <m/>
    <x v="112"/>
    <x v="106"/>
    <n v="3"/>
  </r>
  <r>
    <s v="Still Gmbh - DE"/>
    <s v="Berlin (Phase 1)"/>
    <x v="0"/>
    <x v="84"/>
    <x v="2"/>
    <x v="41"/>
    <x v="0"/>
    <n v="5"/>
    <x v="7"/>
    <n v="61"/>
    <x v="62"/>
    <n v="5"/>
    <s v="No"/>
    <m/>
    <x v="113"/>
    <x v="107"/>
    <n v="1"/>
  </r>
  <r>
    <s v="Still Gmbh - DE"/>
    <s v="Berlin (Phase 2)"/>
    <x v="0"/>
    <x v="84"/>
    <x v="65"/>
    <x v="41"/>
    <x v="0"/>
    <n v="5"/>
    <x v="7"/>
    <n v="61"/>
    <x v="63"/>
    <n v="8"/>
    <s v="No"/>
    <m/>
    <x v="114"/>
    <x v="108"/>
    <n v="2"/>
  </r>
  <r>
    <s v="Still Gmbh - DE"/>
    <s v="Gunzburg"/>
    <x v="0"/>
    <x v="83"/>
    <x v="46"/>
    <x v="42"/>
    <x v="1"/>
    <n v="3"/>
    <x v="0"/>
    <n v="27"/>
    <x v="18"/>
    <n v="4"/>
    <s v="Si"/>
    <s v="(-22°C)"/>
    <x v="99"/>
    <x v="93"/>
    <n v="2"/>
  </r>
  <r>
    <s v="Roen IT"/>
    <s v="Test"/>
    <x v="0"/>
    <x v="95"/>
    <x v="46"/>
    <x v="65"/>
    <x v="34"/>
    <n v="3"/>
    <x v="7"/>
    <n v="39"/>
    <x v="64"/>
    <n v="10"/>
    <s v="No"/>
    <s v="Solo Concept"/>
    <x v="115"/>
    <x v="109"/>
    <n v="4"/>
  </r>
  <r>
    <s v="Cassioli IT"/>
    <s v="Bakery"/>
    <x v="0"/>
    <x v="96"/>
    <x v="35"/>
    <x v="4"/>
    <x v="6"/>
    <n v="5"/>
    <x v="0"/>
    <n v="19"/>
    <x v="28"/>
    <n v="6"/>
    <s v="Si"/>
    <s v="(-25°C)"/>
    <x v="116"/>
    <x v="110"/>
    <n v="2"/>
  </r>
  <r>
    <s v="Moveo e Servizi"/>
    <s v="ASRS Viteria"/>
    <x v="0"/>
    <x v="97"/>
    <x v="45"/>
    <x v="53"/>
    <x v="12"/>
    <n v="5"/>
    <x v="5"/>
    <n v="51"/>
    <x v="65"/>
    <n v="5"/>
    <s v="No"/>
    <s v="posti pallet da raddoppiare"/>
    <x v="117"/>
    <x v="71"/>
    <n v="1"/>
  </r>
  <r>
    <s v="Moveo e Servizi"/>
    <s v="ASRS Viteria"/>
    <x v="0"/>
    <x v="98"/>
    <x v="66"/>
    <x v="42"/>
    <x v="12"/>
    <n v="5"/>
    <x v="4"/>
    <n v="53"/>
    <x v="66"/>
    <n v="9"/>
    <s v="No"/>
    <s v="posti pallet da raddoppiare"/>
    <x v="118"/>
    <x v="111"/>
    <n v="2"/>
  </r>
  <r>
    <s v="Cainam TWN"/>
    <s v="Toying Depot"/>
    <x v="0"/>
    <x v="99"/>
    <x v="50"/>
    <x v="47"/>
    <x v="9"/>
    <n v="9"/>
    <x v="1"/>
    <n v="13"/>
    <x v="43"/>
    <n v="2"/>
    <s v="No"/>
    <s v="6 pp reshuffling"/>
    <x v="119"/>
    <x v="112"/>
    <n v="1"/>
  </r>
  <r>
    <s v="Cainam TWN"/>
    <s v="Toying Depot"/>
    <x v="0"/>
    <x v="100"/>
    <x v="50"/>
    <x v="66"/>
    <x v="9"/>
    <n v="9"/>
    <x v="1"/>
    <n v="13"/>
    <x v="43"/>
    <n v="2"/>
    <s v="No"/>
    <s v="6 pp reshuffling"/>
    <x v="120"/>
    <x v="113"/>
    <n v="1"/>
  </r>
  <r>
    <s v="Linde Gmbh "/>
    <s v="Schoeler"/>
    <x v="0"/>
    <x v="101"/>
    <x v="28"/>
    <x v="6"/>
    <x v="35"/>
    <n v="4"/>
    <x v="2"/>
    <n v="41"/>
    <x v="67"/>
    <n v="4"/>
    <s v="No"/>
    <s v="model 2 &amp; model 2 TH"/>
    <x v="121"/>
    <x v="114"/>
    <n v="1"/>
  </r>
  <r>
    <s v="Linde Gmbh "/>
    <s v="Nabaltec"/>
    <x v="1"/>
    <x v="102"/>
    <x v="56"/>
    <x v="31"/>
    <x v="1"/>
    <n v="4"/>
    <x v="1"/>
    <n v="22"/>
    <x v="68"/>
    <n v="4"/>
    <s v="No"/>
    <s v="model 3 GW"/>
    <x v="122"/>
    <x v="39"/>
    <n v="1"/>
  </r>
  <r>
    <s v="Cassioli BR"/>
    <s v="Unilever"/>
    <x v="0"/>
    <x v="72"/>
    <x v="67"/>
    <x v="60"/>
    <x v="0"/>
    <n v="5"/>
    <x v="2"/>
    <n v="75"/>
    <x v="69"/>
    <n v="14"/>
    <s v="No"/>
    <s v="model 3 NW"/>
    <x v="123"/>
    <x v="115"/>
    <n v="3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e v="#DIV/0!"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  <r>
    <m/>
    <m/>
    <x v="3"/>
    <x v="103"/>
    <x v="68"/>
    <x v="67"/>
    <x v="36"/>
    <m/>
    <x v="11"/>
    <m/>
    <x v="70"/>
    <m/>
    <m/>
    <m/>
    <x v="124"/>
    <x v="11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4BDE3-28EB-46E4-A02F-6D52D9CC0B4B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chartFormat="2" rowHeaderCaption="A warehouse (m²)" colHeaderCaption="Throughput [PPH]">
  <location ref="B3:T14" firstHeaderRow="1" firstDataRow="2" firstDataCol="1" rowPageCount="1" colPageCount="1"/>
  <pivotFields count="18">
    <pivotField showAll="0"/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axis="axisCol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numFmtId="1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showAll="0"/>
    <pivotField dragToRow="0" dragToCol="0" dragToPage="0" showAll="0" defaultSubtotal="0"/>
  </pivotFields>
  <rowFields count="1">
    <field x="15"/>
  </rowFields>
  <rowItems count="10">
    <i>
      <x v="1"/>
    </i>
    <i>
      <x v="2"/>
    </i>
    <i>
      <x v="3"/>
    </i>
    <i>
      <x v="4"/>
    </i>
    <i>
      <x v="5"/>
    </i>
    <i>
      <x v="7"/>
    </i>
    <i>
      <x v="12"/>
    </i>
    <i>
      <x v="13"/>
    </i>
    <i>
      <x v="14"/>
    </i>
    <i t="grand">
      <x/>
    </i>
  </rowItems>
  <colFields count="1">
    <field x="10"/>
  </colFields>
  <col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9"/>
    </i>
    <i>
      <x v="20"/>
    </i>
    <i>
      <x v="21"/>
    </i>
    <i>
      <x v="29"/>
    </i>
    <i t="grand">
      <x/>
    </i>
  </colItems>
  <pageFields count="1">
    <pageField fld="2" hier="-1"/>
  </pageFields>
  <dataFields count="1">
    <dataField name="Media di N° machine/level" fld="16" subtotal="average" baseField="16" baseItem="3" numFmtId="1"/>
  </dataFields>
  <chartFormats count="17"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0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1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9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F6306-CE7E-40F0-8BB1-883FC5CCEAC0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chartFormat="4" rowHeaderCaption="Lenght [m]" colHeaderCaption="Height [m]">
  <location ref="B3:K20" firstHeaderRow="1" firstDataRow="2" firstDataCol="1" rowPageCount="1" colPageCount="1"/>
  <pivotFields count="18">
    <pivotField showAll="0"/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numFmtId="1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dataField="1" showAll="0"/>
    <pivotField dragToRow="0" dragToCol="0" dragToPage="0" showAll="0" defaultSubtotal="0"/>
  </pivotFields>
  <rowFields count="1">
    <field x="4"/>
  </rowFields>
  <rowItems count="1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9"/>
    </i>
    <i>
      <x v="25"/>
    </i>
    <i t="grand">
      <x/>
    </i>
  </rowItems>
  <colFields count="1">
    <field x="6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colItems>
  <pageFields count="1">
    <pageField fld="2" hier="-1"/>
  </pageFields>
  <dataFields count="1">
    <dataField name="Media di N° machine/level" fld="16" subtotal="average" baseField="16" baseItem="3" numFmtId="1"/>
  </dataFields>
  <chartFormats count="9">
    <chartFormat chart="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9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9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9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9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9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10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" format="10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63815-F22D-4297-A0A3-E37B7EB60683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chartFormat="5" rowHeaderCaption="Lenght [m]" colHeaderCaption="Depth [m]">
  <location ref="B3:N20" firstHeaderRow="1" firstDataRow="2" firstDataCol="1" rowPageCount="1" colPageCount="1"/>
  <pivotFields count="18">
    <pivotField showAll="0"/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numFmtId="1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axis="axisCol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dataField="1" showAll="0"/>
    <pivotField dragToRow="0" dragToCol="0" dragToPage="0" showAll="0" defaultSubtotal="0"/>
  </pivotFields>
  <rowFields count="1">
    <field x="4"/>
  </rowFields>
  <rowItems count="1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9"/>
    </i>
    <i>
      <x v="25"/>
    </i>
    <i t="grand">
      <x/>
    </i>
  </rowItems>
  <colFields count="1">
    <field x="5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pageFields count="1">
    <pageField fld="2" hier="-1"/>
  </pageFields>
  <dataFields count="1">
    <dataField name="Media di N° machine/level" fld="16" subtotal="average" baseField="16" baseItem="3" numFmtId="1"/>
  </dataFields>
  <chartFormats count="13">
    <chartFormat chart="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7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7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17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17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17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17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4" format="17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4" format="17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4" format="18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4" format="18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1AE09-0E8D-45EA-A247-46835206C97E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chartFormat="5" rowHeaderCaption="Volume [m3]" colHeaderCaption="Throughput [PPH]">
  <location ref="B3:T19" firstHeaderRow="1" firstDataRow="2" firstDataCol="1" rowPageCount="1" colPageCount="1"/>
  <pivotFields count="18">
    <pivotField showAll="0"/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axis="axisCol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axis="axisRow" numFmtId="1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  <pivotField dragToRow="0" dragToCol="0" dragToPage="0" showAll="0" defaultSubtotal="0"/>
  </pivotFields>
  <rowFields count="1">
    <field x="14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3"/>
    </i>
    <i>
      <x v="15"/>
    </i>
    <i>
      <x v="18"/>
    </i>
    <i>
      <x v="20"/>
    </i>
    <i>
      <x v="26"/>
    </i>
    <i t="grand">
      <x/>
    </i>
  </rowItems>
  <colFields count="1">
    <field x="10"/>
  </colFields>
  <col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9"/>
    </i>
    <i>
      <x v="20"/>
    </i>
    <i>
      <x v="21"/>
    </i>
    <i>
      <x v="29"/>
    </i>
    <i t="grand">
      <x/>
    </i>
  </colItems>
  <pageFields count="1">
    <pageField fld="2" hier="-1"/>
  </pageFields>
  <dataFields count="1">
    <dataField name="Media di N° machine/level" fld="16" subtotal="average" baseField="16" baseItem="3" numFmtId="1"/>
  </dataFields>
  <chartFormats count="19">
    <chartFormat chart="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4" format="14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4" format="14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  <chartFormat chart="4" format="14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0"/>
          </reference>
        </references>
      </pivotArea>
    </chartFormat>
    <chartFormat chart="4" format="15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1"/>
          </reference>
        </references>
      </pivotArea>
    </chartFormat>
    <chartFormat chart="4" format="15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9"/>
          </reference>
        </references>
      </pivotArea>
    </chartFormat>
    <chartFormat chart="4" format="15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5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5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15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4" format="15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4" format="15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4" format="15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4" format="15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4" format="16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4" format="16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4" format="16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AEBCE-CCE4-4E1B-82B9-5AAAB2F9470D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chartFormat="6" rowHeaderCaption="Pallet Locations" colHeaderCaption="Throughput [PPH]">
  <location ref="B3:T21" firstHeaderRow="1" firstDataRow="2" firstDataCol="1" rowPageCount="1" colPageCount="1"/>
  <pivotFields count="18">
    <pivotField showAll="0"/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Row" numFmtId="1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numFmtId="1" showAll="0"/>
    <pivotField showAll="0"/>
    <pivotField dataField="1" showAll="0"/>
    <pivotField dragToRow="0" dragToCol="0" dragToPage="0" showAll="0" defaultSubtotal="0"/>
  </pivotFields>
  <rowFields count="1">
    <field x="3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3"/>
    </i>
    <i>
      <x v="14"/>
    </i>
    <i>
      <x v="20"/>
    </i>
    <i>
      <x v="22"/>
    </i>
    <i>
      <x v="26"/>
    </i>
    <i>
      <x v="40"/>
    </i>
    <i t="grand">
      <x/>
    </i>
  </rowItems>
  <colFields count="1">
    <field x="10"/>
  </colFields>
  <col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9"/>
    </i>
    <i>
      <x v="20"/>
    </i>
    <i>
      <x v="21"/>
    </i>
    <i>
      <x v="29"/>
    </i>
    <i t="grand">
      <x/>
    </i>
  </colItems>
  <pageFields count="1">
    <pageField fld="2" hier="-1"/>
  </pageFields>
  <dataFields count="1">
    <dataField name="Media di N° machine/level" fld="16" subtotal="average" baseField="16" baseItem="3" numFmtId="1"/>
  </dataFields>
  <chartFormats count="19">
    <chartFormat chart="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5" format="16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5" format="16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  <chartFormat chart="5" format="16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0"/>
          </reference>
        </references>
      </pivotArea>
    </chartFormat>
    <chartFormat chart="5" format="16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1"/>
          </reference>
        </references>
      </pivotArea>
    </chartFormat>
    <chartFormat chart="5" format="16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9"/>
          </reference>
        </references>
      </pivotArea>
    </chartFormat>
    <chartFormat chart="5" format="16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7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17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17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5" format="17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5" format="17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5" format="17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5" format="17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5" format="17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5" format="17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5" format="17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71163-4921-49DD-835A-1A99BDE3B0D6}" name="Tabella pivot2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rowHeaderCaption="A warehouse (m²)" colHeaderCaption="Total Throughput">
  <location ref="B3:V13" firstHeaderRow="1" firstDataRow="2" firstDataCol="1" rowPageCount="1" colPageCount="1"/>
  <pivotFields count="18">
    <pivotField showAll="0"/>
    <pivotField showAll="0"/>
    <pivotField axis="axisPage" multipleItemSelectionAllowed="1" showAll="0">
      <items count="5">
        <item h="1"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numFmtId="1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showAll="0"/>
    <pivotField dragToRow="0" dragToCol="0" dragToPage="0" showAll="0" defaultSubtotal="0"/>
  </pivotFields>
  <rowFields count="1">
    <field x="15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0"/>
  </colFields>
  <colItems count="2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5"/>
    </i>
    <i>
      <x v="16"/>
    </i>
    <i>
      <x v="17"/>
    </i>
    <i>
      <x v="19"/>
    </i>
    <i>
      <x v="21"/>
    </i>
    <i>
      <x v="25"/>
    </i>
    <i>
      <x v="29"/>
    </i>
    <i>
      <x v="40"/>
    </i>
    <i t="grand">
      <x/>
    </i>
  </colItems>
  <pageFields count="1">
    <pageField fld="2" hier="-1"/>
  </pageFields>
  <dataFields count="1">
    <dataField name="Media di N° machine/level" fld="16" subtotal="average" baseField="15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68A57-25A5-4E4F-ABE7-66336F52FCC9}" name="Tabella pivot2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rowHeaderCaption="Lenght [m]" colHeaderCaption="Height [m]">
  <location ref="B3:J19" firstHeaderRow="1" firstDataRow="2" firstDataCol="1" rowPageCount="1" colPageCount="1"/>
  <pivotFields count="18">
    <pivotField showAll="0"/>
    <pivotField showAll="0"/>
    <pivotField axis="axisPage" multipleItemSelectionAllowed="1" showAll="0">
      <items count="5">
        <item h="1" x="0"/>
        <item x="1"/>
        <item x="2"/>
        <item h="1" x="3"/>
        <item t="default"/>
      </items>
    </pivotField>
    <pivotField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dataField="1" showAll="0"/>
    <pivotField dragToRow="0" dragToCol="0" dragToPage="0" showAll="0" defaultSubtotal="0"/>
  </pivotFields>
  <rowFields count="1">
    <field x="4"/>
  </rowFields>
  <rowItems count="15"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7"/>
    </i>
    <i>
      <x v="18"/>
    </i>
    <i>
      <x v="19"/>
    </i>
    <i>
      <x v="24"/>
    </i>
    <i t="grand">
      <x/>
    </i>
  </rowItems>
  <colFields count="1">
    <field x="6"/>
  </colFields>
  <colItems count="8"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colItems>
  <pageFields count="1">
    <pageField fld="2" hier="-1"/>
  </pageFields>
  <dataFields count="1">
    <dataField name="Media di N° machine/level" fld="16" subtotal="average" baseField="15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3A7A3-AB50-4715-8E53-9842FA19EFD0}" name="Tabella pivot2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rowHeaderCaption="Lenght [m]" colHeaderCaption="Depth [m]">
  <location ref="B3:O19" firstHeaderRow="1" firstDataRow="2" firstDataCol="1" rowPageCount="1" colPageCount="1"/>
  <pivotFields count="18">
    <pivotField showAll="0"/>
    <pivotField showAll="0"/>
    <pivotField axis="axisPage" multipleItemSelectionAllowed="1" showAll="0">
      <items count="5">
        <item h="1" x="0"/>
        <item x="1"/>
        <item x="2"/>
        <item h="1" x="3"/>
        <item t="default"/>
      </items>
    </pivotField>
    <pivotField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axis="axisCol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dataField="1" showAll="0"/>
    <pivotField dragToRow="0" dragToCol="0" dragToPage="0" showAll="0" defaultSubtotal="0"/>
  </pivotFields>
  <rowFields count="1">
    <field x="4"/>
  </rowFields>
  <rowItems count="15"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7"/>
    </i>
    <i>
      <x v="18"/>
    </i>
    <i>
      <x v="19"/>
    </i>
    <i>
      <x v="24"/>
    </i>
    <i t="grand">
      <x/>
    </i>
  </rowItems>
  <colFields count="1">
    <field x="5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colItems>
  <pageFields count="1">
    <pageField fld="2" hier="-1"/>
  </pageFields>
  <dataFields count="1">
    <dataField name="Media di N° machine/level" fld="16" subtotal="average" baseField="15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C7D97-30BC-4028-8340-E589D11F4CD6}" name="Tabella pivot2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rowHeaderCaption="Pallet Locations" colHeaderCaption="Troughput [PPH]">
  <location ref="B3:V19" firstHeaderRow="1" firstDataRow="2" firstDataCol="1" rowPageCount="1" colPageCount="1"/>
  <pivotFields count="18">
    <pivotField showAll="0"/>
    <pivotField showAll="0"/>
    <pivotField axis="axisPage" multipleItemSelectionAllowed="1" showAll="0">
      <items count="5">
        <item h="1"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axis="axisRow" numFmtId="1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  <pivotField dragToRow="0" dragToCol="0" dragToPage="0" showAll="0" defaultSubtotal="0"/>
  </pivotFields>
  <rowFields count="1">
    <field x="14"/>
  </rowFields>
  <rowItems count="15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3"/>
    </i>
    <i>
      <x v="14"/>
    </i>
    <i>
      <x v="18"/>
    </i>
    <i>
      <x v="19"/>
    </i>
    <i>
      <x v="21"/>
    </i>
    <i t="grand">
      <x/>
    </i>
  </rowItems>
  <colFields count="1">
    <field x="10"/>
  </colFields>
  <colItems count="2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5"/>
    </i>
    <i>
      <x v="16"/>
    </i>
    <i>
      <x v="17"/>
    </i>
    <i>
      <x v="19"/>
    </i>
    <i>
      <x v="21"/>
    </i>
    <i>
      <x v="25"/>
    </i>
    <i>
      <x v="29"/>
    </i>
    <i>
      <x v="40"/>
    </i>
    <i t="grand">
      <x/>
    </i>
  </colItems>
  <pageFields count="1">
    <pageField fld="2" hier="-1"/>
  </pageFields>
  <dataFields count="1">
    <dataField name="Media di N° machine/level" fld="16" subtotal="average" baseField="15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74351-9171-4857-B979-9100B43A6519}" name="Tabella pivot2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rowHeaderCaption="Pallet Locations" colHeaderCaption="Troughput [PPH]">
  <location ref="B3:V25" firstHeaderRow="1" firstDataRow="2" firstDataCol="1" rowPageCount="1" colPageCount="1"/>
  <pivotFields count="18">
    <pivotField showAll="0"/>
    <pivotField showAll="0"/>
    <pivotField axis="axisPage" multipleItemSelectionAllowed="1" showAll="0">
      <items count="5">
        <item h="1" x="0"/>
        <item x="1"/>
        <item x="2"/>
        <item h="1" x="3"/>
        <item t="default"/>
      </items>
    </pivotField>
    <pivotField axis="axisRow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numFmtId="1" showAll="0"/>
    <pivotField showAll="0"/>
    <pivotField dataField="1" showAll="0"/>
    <pivotField dragToRow="0" dragToCol="0" dragToPage="0" showAll="0" defaultSubtotal="0"/>
  </pivotFields>
  <rowFields count="1">
    <field x="3"/>
  </rowFields>
  <rowItems count="21">
    <i>
      <x v="1"/>
    </i>
    <i>
      <x v="2"/>
    </i>
    <i>
      <x v="3"/>
    </i>
    <i>
      <x v="4"/>
    </i>
    <i>
      <x v="6"/>
    </i>
    <i>
      <x v="7"/>
    </i>
    <i>
      <x v="8"/>
    </i>
    <i>
      <x v="10"/>
    </i>
    <i>
      <x v="11"/>
    </i>
    <i>
      <x v="13"/>
    </i>
    <i>
      <x v="15"/>
    </i>
    <i>
      <x v="18"/>
    </i>
    <i>
      <x v="20"/>
    </i>
    <i>
      <x v="21"/>
    </i>
    <i>
      <x v="22"/>
    </i>
    <i>
      <x v="23"/>
    </i>
    <i>
      <x v="24"/>
    </i>
    <i>
      <x v="25"/>
    </i>
    <i>
      <x v="27"/>
    </i>
    <i>
      <x v="39"/>
    </i>
    <i t="grand">
      <x/>
    </i>
  </rowItems>
  <colFields count="1">
    <field x="10"/>
  </colFields>
  <colItems count="2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5"/>
    </i>
    <i>
      <x v="16"/>
    </i>
    <i>
      <x v="17"/>
    </i>
    <i>
      <x v="19"/>
    </i>
    <i>
      <x v="21"/>
    </i>
    <i>
      <x v="25"/>
    </i>
    <i>
      <x v="29"/>
    </i>
    <i>
      <x v="40"/>
    </i>
    <i t="grand">
      <x/>
    </i>
  </colItems>
  <pageFields count="1">
    <pageField fld="2" hier="-1"/>
  </pageFields>
  <dataFields count="1">
    <dataField name="Media di N° machine/level" fld="16" subtotal="average" baseField="15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C1B03-10EA-4076-959C-BD8872F7E759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chartFormat="6" rowHeaderCaption="volume" colHeaderCaption="flusso" fieldListSortAscending="1">
  <location ref="A3:V33" firstHeaderRow="1" firstDataRow="2" firstDataCol="1" rowPageCount="1" colPageCount="1"/>
  <pivotFields count="15"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1" showAll="0"/>
    <pivotField showAll="0"/>
    <pivotField showAll="0"/>
    <pivotField axis="axisRow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</pivotFields>
  <rowFields count="1">
    <field x="14"/>
  </rowFields>
  <rowItems count="2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8"/>
    </i>
    <i>
      <x v="19"/>
    </i>
    <i>
      <x v="20"/>
    </i>
    <i>
      <x v="22"/>
    </i>
    <i>
      <x v="23"/>
    </i>
    <i>
      <x v="30"/>
    </i>
    <i>
      <x v="38"/>
    </i>
    <i>
      <x v="43"/>
    </i>
    <i>
      <x v="44"/>
    </i>
    <i>
      <x v="45"/>
    </i>
    <i>
      <x v="53"/>
    </i>
    <i>
      <x v="60"/>
    </i>
    <i>
      <x v="76"/>
    </i>
    <i t="grand">
      <x/>
    </i>
  </rowItems>
  <colFields count="1">
    <field x="10"/>
  </colFields>
  <col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23"/>
    </i>
    <i>
      <x v="24"/>
    </i>
    <i>
      <x v="25"/>
    </i>
    <i>
      <x v="26"/>
    </i>
    <i>
      <x v="36"/>
    </i>
    <i t="grand">
      <x/>
    </i>
  </colItems>
  <pageFields count="1">
    <pageField fld="2" item="0" hier="-1"/>
  </pageFields>
  <dataFields count="1">
    <dataField name="Media di N° machine" fld="11" subtotal="average" baseField="14" baseItem="2" numFmtId="1"/>
  </dataFields>
  <formats count="19">
    <format dxfId="40">
      <pivotArea type="all" dataOnly="0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0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14" type="button" dataOnly="0" labelOnly="1" outline="0" axis="axisRow" fieldPosition="0"/>
    </format>
    <format dxfId="33">
      <pivotArea dataOnly="0" labelOnly="1" grandRow="1" outline="0" fieldPosition="0"/>
    </format>
    <format dxfId="32">
      <pivotArea dataOnly="0" labelOnly="1" grandCol="1" outline="0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0" type="button" dataOnly="0" labelOnly="1" outline="0" axis="axisCol" fieldPosition="0"/>
    </format>
    <format dxfId="28">
      <pivotArea type="topRight" dataOnly="0" labelOnly="1" outline="0" fieldPosition="0"/>
    </format>
    <format dxfId="27">
      <pivotArea dataOnly="0" labelOnly="1" grandCol="1" outline="0" fieldPosition="0"/>
    </format>
    <format dxfId="26">
      <pivotArea field="2" type="button" dataOnly="0" labelOnly="1" outline="0" axis="axisPage" fieldPosition="0"/>
    </format>
    <format dxfId="25">
      <pivotArea type="origin" dataOnly="0" labelOnly="1" outline="0" fieldPosition="0"/>
    </format>
    <format dxfId="24">
      <pivotArea field="14" type="button" dataOnly="0" labelOnly="1" outline="0" axis="axisRow" fieldPosition="0"/>
    </format>
    <format dxfId="23">
      <pivotArea dataOnly="0" labelOnly="1" grandRow="1" outline="0" fieldPosition="0"/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chartFormats count="21">
    <chartFormat chart="3" format="20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5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25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25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25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25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3" format="25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3" format="25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3" format="25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3" format="25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3" format="25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3" format="26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3" format="26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3" format="26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3" format="26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3" format="26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3"/>
          </reference>
        </references>
      </pivotArea>
    </chartFormat>
    <chartFormat chart="3" format="26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4"/>
          </reference>
        </references>
      </pivotArea>
    </chartFormat>
    <chartFormat chart="3" format="26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5"/>
          </reference>
        </references>
      </pivotArea>
    </chartFormat>
    <chartFormat chart="3" format="26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6"/>
          </reference>
        </references>
      </pivotArea>
    </chartFormat>
    <chartFormat chart="3" format="26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6"/>
          </reference>
        </references>
      </pivotArea>
    </chartFormat>
    <chartFormat chart="3" format="26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D2B16-DA98-4235-8C02-3EC8EC27829F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 chartFormat="6" fieldListSortAscending="1">
  <location ref="A3:V66" firstHeaderRow="1" firstDataRow="2" firstDataCol="1" rowPageCount="1" colPageCount="1"/>
  <pivotFields count="15">
    <pivotField showAll="0"/>
    <pivotField showAll="0"/>
    <pivotField axis="axisPage" multipleItemSelectionAllowed="1" showAll="0">
      <items count="5">
        <item h="1"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1"/>
        <item x="2"/>
        <item x="0"/>
        <item x="7"/>
        <item x="5"/>
        <item x="4"/>
        <item x="3"/>
        <item x="6"/>
        <item x="8"/>
        <item x="10"/>
        <item x="9"/>
        <item x="11"/>
        <item t="default"/>
      </items>
    </pivotField>
    <pivotField showAll="0"/>
    <pivotField axis="axisCol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1" showAll="0"/>
    <pivotField showAll="0"/>
    <pivotField showAll="0"/>
    <pivotField axis="axisRow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</pivotFields>
  <rowFields count="2">
    <field x="14"/>
    <field x="8"/>
  </rowFields>
  <rowItems count="62">
    <i>
      <x v="1"/>
    </i>
    <i r="1">
      <x/>
    </i>
    <i>
      <x v="2"/>
    </i>
    <i r="1">
      <x/>
    </i>
    <i>
      <x v="3"/>
    </i>
    <i r="1">
      <x/>
    </i>
    <i r="1">
      <x v="1"/>
    </i>
    <i>
      <x v="4"/>
    </i>
    <i r="1">
      <x/>
    </i>
    <i>
      <x v="5"/>
    </i>
    <i r="1">
      <x v="1"/>
    </i>
    <i>
      <x v="7"/>
    </i>
    <i r="1">
      <x v="1"/>
    </i>
    <i r="1">
      <x v="2"/>
    </i>
    <i r="1">
      <x v="7"/>
    </i>
    <i>
      <x v="8"/>
    </i>
    <i r="1">
      <x v="1"/>
    </i>
    <i r="1">
      <x v="2"/>
    </i>
    <i>
      <x v="9"/>
    </i>
    <i r="1">
      <x/>
    </i>
    <i r="1">
      <x v="1"/>
    </i>
    <i r="1">
      <x v="8"/>
    </i>
    <i>
      <x v="10"/>
    </i>
    <i r="1">
      <x v="2"/>
    </i>
    <i>
      <x v="12"/>
    </i>
    <i r="1">
      <x v="2"/>
    </i>
    <i>
      <x v="14"/>
    </i>
    <i r="1">
      <x/>
    </i>
    <i>
      <x v="16"/>
    </i>
    <i r="1">
      <x/>
    </i>
    <i r="1">
      <x v="1"/>
    </i>
    <i>
      <x v="18"/>
    </i>
    <i r="1">
      <x/>
    </i>
    <i>
      <x v="24"/>
    </i>
    <i r="1">
      <x/>
    </i>
    <i>
      <x v="25"/>
    </i>
    <i r="1">
      <x/>
    </i>
    <i>
      <x v="27"/>
    </i>
    <i r="1">
      <x v="3"/>
    </i>
    <i>
      <x v="31"/>
    </i>
    <i r="1">
      <x v="2"/>
    </i>
    <i>
      <x v="33"/>
    </i>
    <i r="1">
      <x v="1"/>
    </i>
    <i>
      <x v="37"/>
    </i>
    <i r="1">
      <x v="4"/>
    </i>
    <i>
      <x v="38"/>
    </i>
    <i r="1">
      <x v="1"/>
    </i>
    <i r="1">
      <x v="4"/>
    </i>
    <i>
      <x v="39"/>
    </i>
    <i r="1">
      <x v="1"/>
    </i>
    <i>
      <x v="41"/>
    </i>
    <i r="1">
      <x/>
    </i>
    <i>
      <x v="53"/>
    </i>
    <i r="1">
      <x v="1"/>
    </i>
    <i r="1">
      <x v="2"/>
    </i>
    <i>
      <x v="54"/>
    </i>
    <i r="1">
      <x v="2"/>
    </i>
    <i>
      <x v="55"/>
    </i>
    <i r="1">
      <x v="2"/>
    </i>
    <i>
      <x v="63"/>
    </i>
    <i r="1">
      <x v="2"/>
    </i>
    <i t="grand">
      <x/>
    </i>
  </rowItems>
  <colFields count="1">
    <field x="10"/>
  </colFields>
  <colItems count="21"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9"/>
    </i>
    <i>
      <x v="20"/>
    </i>
    <i>
      <x v="21"/>
    </i>
    <i>
      <x v="24"/>
    </i>
    <i>
      <x v="26"/>
    </i>
    <i>
      <x v="31"/>
    </i>
    <i>
      <x v="36"/>
    </i>
    <i>
      <x v="49"/>
    </i>
    <i t="grand">
      <x/>
    </i>
  </colItems>
  <pageFields count="1">
    <pageField fld="2" hier="-1"/>
  </pageFields>
  <dataFields count="1">
    <dataField name="Somma di N° machine" fld="11" baseField="0" baseItem="0"/>
  </dataFields>
  <formats count="18">
    <format dxfId="21">
      <pivotArea type="all" dataOnly="0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10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14" type="button" dataOnly="0" labelOnly="1" outline="0" axis="axisRow" fieldPosition="0"/>
    </format>
    <format dxfId="14">
      <pivotArea dataOnly="0" labelOnly="1" grandRow="1" outline="0" fieldPosition="0"/>
    </format>
    <format dxfId="13">
      <pivotArea dataOnly="0" labelOnly="1" grandCol="1" outline="0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0" type="button" dataOnly="0" labelOnly="1" outline="0" axis="axisCol" fieldPosition="0"/>
    </format>
    <format dxfId="9">
      <pivotArea type="topRight" dataOnly="0" labelOnly="1" outline="0" fieldPosition="0"/>
    </format>
    <format dxfId="8">
      <pivotArea dataOnly="0" labelOnly="1" grandCol="1" outline="0" fieldPosition="0"/>
    </format>
    <format dxfId="7">
      <pivotArea field="2" type="button" dataOnly="0" labelOnly="1" outline="0" axis="axisPage" fieldPosition="0"/>
    </format>
    <format dxfId="6">
      <pivotArea type="origin" dataOnly="0" labelOnly="1" outline="0" fieldPosition="0"/>
    </format>
    <format dxfId="5">
      <pivotArea field="14" type="button" dataOnly="0" labelOnly="1" outline="0" axis="axisRow" fieldPosition="0"/>
    </format>
    <format dxfId="4">
      <pivotArea dataOnly="0" labelOnly="1" grandRow="1" outline="0" fieldPosition="0"/>
    </format>
  </formats>
  <chartFormats count="21">
    <chartFormat chart="5" format="2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3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6"/>
          </reference>
        </references>
      </pivotArea>
    </chartFormat>
    <chartFormat chart="5" format="23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9"/>
          </reference>
        </references>
      </pivotArea>
    </chartFormat>
    <chartFormat chart="5" format="23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23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23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5" format="23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5" format="23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5" format="23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5" format="23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5" format="23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5" format="24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5" format="24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5" format="24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5" format="24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5" format="24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  <chartFormat chart="5" format="24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0"/>
          </reference>
        </references>
      </pivotArea>
    </chartFormat>
    <chartFormat chart="5" format="24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1"/>
          </reference>
        </references>
      </pivotArea>
    </chartFormat>
    <chartFormat chart="5" format="24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4"/>
          </reference>
        </references>
      </pivotArea>
    </chartFormat>
    <chartFormat chart="5" format="24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6"/>
          </reference>
        </references>
      </pivotArea>
    </chartFormat>
    <chartFormat chart="5" format="24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70D6F-D107-4CA0-9F9C-A1BFCA926A23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>
  <location ref="A3:A4" firstHeaderRow="1" firstDataRow="1" firstDataCol="0" rowPageCount="1" colPageCount="1"/>
  <pivotFields count="15"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 sortType="ascending"/>
    <pivotField showAll="0">
      <items count="62">
        <item x="34"/>
        <item x="7"/>
        <item x="0"/>
        <item x="28"/>
        <item x="40"/>
        <item x="42"/>
        <item x="49"/>
        <item x="8"/>
        <item x="27"/>
        <item x="6"/>
        <item x="33"/>
        <item x="30"/>
        <item x="4"/>
        <item x="41"/>
        <item x="29"/>
        <item x="24"/>
        <item x="14"/>
        <item x="48"/>
        <item x="51"/>
        <item x="50"/>
        <item x="26"/>
        <item x="1"/>
        <item x="37"/>
        <item x="5"/>
        <item x="55"/>
        <item x="16"/>
        <item x="23"/>
        <item x="11"/>
        <item x="31"/>
        <item x="9"/>
        <item x="54"/>
        <item x="2"/>
        <item x="12"/>
        <item x="46"/>
        <item x="35"/>
        <item x="10"/>
        <item x="3"/>
        <item x="32"/>
        <item x="15"/>
        <item x="43"/>
        <item x="38"/>
        <item x="22"/>
        <item x="25"/>
        <item x="53"/>
        <item x="17"/>
        <item x="18"/>
        <item x="47"/>
        <item x="36"/>
        <item x="21"/>
        <item x="45"/>
        <item x="44"/>
        <item x="19"/>
        <item x="20"/>
        <item x="52"/>
        <item x="13"/>
        <item x="57"/>
        <item x="39"/>
        <item x="56"/>
        <item x="59"/>
        <item m="1" x="60"/>
        <item x="5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pageFields count="1">
    <pageField fld="3" hier="-1"/>
  </pageFields>
  <dataFields count="1">
    <dataField name="Somma di N° machine" fld="12" baseField="0" baseItem="0"/>
  </dataFields>
  <formats count="2">
    <format dxfId="3">
      <pivotArea field="6" type="button" dataOnly="0" labelOnly="1" outline="0"/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V_warehouse__m3" xr10:uid="{85BE446A-8CCF-4053-AF2D-98C89C52CDD8}" sourceName="V warehouse [m3]">
  <pivotTables>
    <pivotTable tabId="10" name="Tabella pivot2"/>
  </pivotTables>
  <data>
    <tabular pivotCacheId="1200589168">
      <items count="102">
        <i x="1" s="1"/>
        <i x="3" s="1"/>
        <i x="24" s="1"/>
        <i x="25" s="1"/>
        <i x="27" s="1"/>
        <i x="31" s="1"/>
        <i x="4" s="1"/>
        <i x="33" s="1"/>
        <i x="37" s="1"/>
        <i x="38" s="1"/>
        <i x="39" s="1"/>
        <i x="41" s="1"/>
        <i x="5" s="1"/>
        <i x="53" s="1"/>
        <i x="54" s="1"/>
        <i x="55" s="1"/>
        <i x="7" s="1"/>
        <i x="63" s="1"/>
        <i x="8" s="1"/>
        <i x="9" s="1"/>
        <i x="10" s="1"/>
        <i x="2" s="1"/>
        <i x="12" s="1"/>
        <i x="14" s="1"/>
        <i x="16" s="1"/>
        <i x="18" s="1"/>
        <i x="0" s="1" nd="1"/>
        <i x="101" s="1" nd="1"/>
        <i x="21" s="1" nd="1"/>
        <i x="22" s="1" nd="1"/>
        <i x="23" s="1" nd="1"/>
        <i x="26" s="1" nd="1"/>
        <i x="28" s="1" nd="1"/>
        <i x="29" s="1" nd="1"/>
        <i x="30" s="1" nd="1"/>
        <i x="32" s="1" nd="1"/>
        <i x="34" s="1" nd="1"/>
        <i x="35" s="1" nd="1"/>
        <i x="36" s="1" nd="1"/>
        <i x="40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6" s="1" nd="1"/>
        <i x="52" s="1" nd="1"/>
        <i x="56" s="1" nd="1"/>
        <i x="57" s="1" nd="1"/>
        <i x="58" s="1" nd="1"/>
        <i x="59" s="1" nd="1"/>
        <i x="60" s="1" nd="1"/>
        <i x="61" s="1" nd="1"/>
        <i x="62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1" s="1" nd="1"/>
        <i x="13" s="1" nd="1"/>
        <i x="15" s="1" nd="1"/>
        <i x="17" s="1" nd="1"/>
        <i x="19" s="1" nd="1"/>
        <i x="2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Total_throughput" xr10:uid="{30C8EA5F-99C1-40AA-8F4F-570C40631DBD}" sourceName="Total throughput">
  <pivotTables>
    <pivotTable tabId="10" name="Tabella pivot2"/>
  </pivotTables>
  <data>
    <tabular pivotCacheId="1200589168">
      <items count="77">
        <i x="7" s="1"/>
        <i x="8" s="1"/>
        <i x="9" s="1"/>
        <i x="10" s="1"/>
        <i x="11" s="1"/>
        <i x="2" s="1"/>
        <i x="12" s="1"/>
        <i x="14" s="1"/>
        <i x="15" s="1"/>
        <i x="19" s="1"/>
        <i x="20" s="1"/>
        <i x="21" s="1"/>
        <i x="3" s="1"/>
        <i x="24" s="1"/>
        <i x="26" s="1"/>
        <i x="31" s="1"/>
        <i x="4" s="1"/>
        <i x="36" s="1"/>
        <i x="5" s="1"/>
        <i x="49" s="1"/>
        <i x="0" s="1" nd="1"/>
        <i x="76" s="1" nd="1"/>
        <i x="1" s="1" nd="1"/>
        <i x="51" s="1" nd="1"/>
        <i x="6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13" s="1" nd="1"/>
        <i x="16" s="1" nd="1"/>
        <i x="17" s="1" nd="1"/>
        <i x="18" s="1" nd="1"/>
        <i x="22" s="1" nd="1"/>
        <i x="23" s="1" nd="1"/>
        <i x="25" s="1" nd="1"/>
        <i x="27" s="1" nd="1"/>
        <i x="28" s="1" nd="1"/>
        <i x="29" s="1" nd="1"/>
        <i x="30" s="1" nd="1"/>
        <i x="32" s="1" nd="1"/>
        <i x="33" s="1" nd="1"/>
        <i x="34" s="1" nd="1"/>
        <i x="35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5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V_warehouse__m31" xr10:uid="{B0B064A0-0E6C-45C8-8743-4C1C3469CE69}" sourceName="V warehouse [m3]">
  <pivotTables>
    <pivotTable tabId="3" name="Tabella pivot2"/>
  </pivotTables>
  <data>
    <tabular pivotCacheId="1200589168">
      <items count="102">
        <i x="1" s="1"/>
        <i x="3" s="1"/>
        <i x="22" s="1"/>
        <i x="23" s="1"/>
        <i x="30" s="1"/>
        <i x="4" s="1"/>
        <i x="38" s="1"/>
        <i x="5" s="1"/>
        <i x="43" s="1"/>
        <i x="44" s="1"/>
        <i x="45" s="1"/>
        <i x="6" s="1"/>
        <i x="53" s="1"/>
        <i x="60" s="1"/>
        <i x="7" s="1"/>
        <i x="8" s="1"/>
        <i x="76" s="1"/>
        <i x="9" s="1"/>
        <i x="10" s="1"/>
        <i x="11" s="1"/>
        <i x="2" s="1"/>
        <i x="13" s="1"/>
        <i x="14" s="1"/>
        <i x="15" s="1"/>
        <i x="16" s="1"/>
        <i x="18" s="1"/>
        <i x="19" s="1"/>
        <i x="20" s="1"/>
        <i x="0" s="1" nd="1"/>
        <i x="101" s="1" nd="1"/>
        <i x="21" s="1" nd="1"/>
        <i x="24" s="1" nd="1"/>
        <i x="25" s="1" nd="1"/>
        <i x="26" s="1" nd="1"/>
        <i x="27" s="1" nd="1"/>
        <i x="28" s="1" nd="1"/>
        <i x="29" s="1" nd="1"/>
        <i x="31" s="1" nd="1"/>
        <i x="32" s="1" nd="1"/>
        <i x="33" s="1" nd="1"/>
        <i x="34" s="1" nd="1"/>
        <i x="35" s="1" nd="1"/>
        <i x="36" s="1" nd="1"/>
        <i x="37" s="1" nd="1"/>
        <i x="39" s="1" nd="1"/>
        <i x="40" s="1" nd="1"/>
        <i x="41" s="1" nd="1"/>
        <i x="42" s="1" nd="1"/>
        <i x="46" s="1" nd="1"/>
        <i x="47" s="1" nd="1"/>
        <i x="48" s="1" nd="1"/>
        <i x="49" s="1" nd="1"/>
        <i x="50" s="1" nd="1"/>
        <i x="51" s="1" nd="1"/>
        <i x="52" s="1" nd="1"/>
        <i x="54" s="1" nd="1"/>
        <i x="55" s="1" nd="1"/>
        <i x="56" s="1" nd="1"/>
        <i x="57" s="1" nd="1"/>
        <i x="58" s="1" nd="1"/>
        <i x="59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2" s="1" nd="1"/>
        <i x="17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Total_throughput1" xr10:uid="{A21223A0-0BE3-4D80-915A-46BCDAC1DD49}" sourceName="Total throughput">
  <pivotTables>
    <pivotTable tabId="3" name="Tabella pivot2"/>
  </pivotTables>
  <data>
    <tabular pivotCacheId="1200589168">
      <items count="77">
        <i x="1" s="1"/>
        <i x="6" s="1"/>
        <i x="7" s="1"/>
        <i x="8" s="1"/>
        <i x="9" s="1"/>
        <i x="10" s="1"/>
        <i x="11" s="1"/>
        <i x="2" s="1"/>
        <i x="12" s="1"/>
        <i x="14" s="1"/>
        <i x="15" s="1"/>
        <i x="16" s="1"/>
        <i x="3" s="1"/>
        <i x="23" s="1"/>
        <i x="24" s="1"/>
        <i x="25" s="1"/>
        <i x="26" s="1"/>
        <i x="4" s="1"/>
        <i x="36" s="1"/>
        <i x="5" s="1"/>
        <i x="0" s="1" nd="1"/>
        <i x="76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13" s="1" nd="1"/>
        <i x="17" s="1" nd="1"/>
        <i x="18" s="1" nd="1"/>
        <i x="19" s="1" nd="1"/>
        <i x="20" s="1" nd="1"/>
        <i x="21" s="1" nd="1"/>
        <i x="22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 warehouse [m3] 1" xr10:uid="{15E8A458-AC5E-43FE-B874-74B22EB627FF}" cache="FiltroDati_V_warehouse__m31" caption="V warehouse [m3]" rowHeight="247650"/>
  <slicer name="Total throughput 1" xr10:uid="{57E0E3B3-E308-44CF-A591-EF6CE4CDDD25}" cache="FiltroDati_Total_throughput1" caption="Total throughput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 warehouse [m3]" xr10:uid="{20F9D15F-3C5E-4261-B63D-1EC92E43220D}" cache="FiltroDati_V_warehouse__m3" caption="V warehouse [m3]" rowHeight="247650"/>
  <slicer name="Total throughput" xr10:uid="{AB297CCA-CA46-495B-BCBE-4E862D2D95A7}" cache="FiltroDati_Total_throughput" caption="Total throughput" rowHeight="247650"/>
</slicer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0493-9B50-45B2-BCA9-130A3623431E}">
  <sheetPr filterMode="1"/>
  <dimension ref="A1:S180"/>
  <sheetViews>
    <sheetView tabSelected="1" zoomScale="90" zoomScaleNormal="90" workbookViewId="0">
      <pane ySplit="1" topLeftCell="A2" activePane="bottomLeft" state="frozen"/>
      <selection pane="bottomLeft" activeCell="B183" sqref="B183"/>
    </sheetView>
  </sheetViews>
  <sheetFormatPr defaultColWidth="8.85546875" defaultRowHeight="15" customHeight="1" x14ac:dyDescent="0.25"/>
  <cols>
    <col min="1" max="1" width="4.42578125" style="1" bestFit="1" customWidth="1"/>
    <col min="2" max="2" width="15.28515625" style="1" customWidth="1"/>
    <col min="3" max="3" width="20.7109375" style="3" bestFit="1" customWidth="1"/>
    <col min="4" max="4" width="26.5703125" style="3" bestFit="1" customWidth="1"/>
    <col min="5" max="5" width="5.7109375" style="3" customWidth="1"/>
    <col min="6" max="6" width="8.7109375" style="4" bestFit="1" customWidth="1"/>
    <col min="7" max="7" width="15.5703125" style="3" customWidth="1"/>
    <col min="8" max="8" width="18.42578125" style="3" customWidth="1"/>
    <col min="9" max="9" width="17.5703125" style="3" customWidth="1"/>
    <col min="10" max="10" width="11.28515625" style="3" customWidth="1"/>
    <col min="11" max="11" width="12" style="3" customWidth="1"/>
    <col min="12" max="12" width="13" style="3" customWidth="1"/>
    <col min="13" max="13" width="18" style="3" customWidth="1"/>
    <col min="14" max="14" width="14.28515625" style="3" customWidth="1"/>
    <col min="15" max="15" width="11.28515625" style="3" bestFit="1" customWidth="1"/>
    <col min="16" max="16" width="15" style="3" bestFit="1" customWidth="1"/>
    <col min="17" max="17" width="16.7109375" style="3" bestFit="1" customWidth="1"/>
    <col min="18" max="18" width="20.28515625" style="3" customWidth="1"/>
    <col min="19" max="19" width="20.140625" style="3" customWidth="1"/>
    <col min="20" max="21" width="8.85546875" style="3"/>
    <col min="22" max="22" width="10" style="3" bestFit="1" customWidth="1"/>
    <col min="23" max="16384" width="8.85546875" style="3"/>
  </cols>
  <sheetData>
    <row r="1" spans="1:19" s="1" customFormat="1" x14ac:dyDescent="0.25">
      <c r="B1" s="2" t="s">
        <v>0</v>
      </c>
      <c r="C1" s="2" t="s">
        <v>1</v>
      </c>
      <c r="D1" s="2" t="s">
        <v>2</v>
      </c>
      <c r="E1" s="2" t="s">
        <v>3</v>
      </c>
      <c r="F1" s="5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25">
      <c r="A2" s="1">
        <v>1</v>
      </c>
      <c r="B2" s="1" t="s">
        <v>18</v>
      </c>
      <c r="C2" s="3" t="s">
        <v>19</v>
      </c>
      <c r="D2" s="3" t="s">
        <v>20</v>
      </c>
      <c r="E2" s="3" t="s">
        <v>21</v>
      </c>
      <c r="F2" s="4">
        <v>2800</v>
      </c>
      <c r="G2" s="3">
        <v>75</v>
      </c>
      <c r="H2" s="3">
        <v>13</v>
      </c>
      <c r="I2" s="3">
        <v>12</v>
      </c>
      <c r="J2" s="3">
        <v>5</v>
      </c>
      <c r="K2" s="3">
        <v>3</v>
      </c>
      <c r="L2" s="3">
        <v>50</v>
      </c>
      <c r="M2" s="3">
        <v>66</v>
      </c>
      <c r="N2" s="3">
        <v>5</v>
      </c>
      <c r="O2" s="3" t="s">
        <v>22</v>
      </c>
      <c r="Q2" s="4">
        <f>G2*H2*I2</f>
        <v>11700</v>
      </c>
      <c r="R2" s="3">
        <f>G2*H2</f>
        <v>975</v>
      </c>
      <c r="S2" s="3">
        <f t="shared" ref="S2:S33" si="0">_xlfn.CEILING.MATH(IF(E2="ESS",R2/(G2*(H2/K2)),N2/J2))</f>
        <v>1</v>
      </c>
    </row>
    <row r="3" spans="1:19" x14ac:dyDescent="0.25">
      <c r="A3" s="1">
        <v>2</v>
      </c>
      <c r="B3" s="1" t="s">
        <v>23</v>
      </c>
      <c r="C3" s="3" t="s">
        <v>24</v>
      </c>
      <c r="D3" s="3" t="s">
        <v>25</v>
      </c>
      <c r="E3" s="3" t="s">
        <v>26</v>
      </c>
      <c r="F3" s="4">
        <v>25032</v>
      </c>
      <c r="G3" s="3">
        <v>237</v>
      </c>
      <c r="H3" s="3">
        <v>41</v>
      </c>
      <c r="I3" s="3">
        <v>12</v>
      </c>
      <c r="J3" s="3">
        <v>6</v>
      </c>
      <c r="K3" s="3">
        <v>1</v>
      </c>
      <c r="L3" s="3">
        <v>150</v>
      </c>
      <c r="M3" s="3">
        <v>150</v>
      </c>
      <c r="N3" s="3">
        <v>6</v>
      </c>
      <c r="O3" s="3" t="s">
        <v>22</v>
      </c>
      <c r="Q3" s="4">
        <f t="shared" ref="Q3:Q66" si="1">G3*H3*I3</f>
        <v>116604</v>
      </c>
      <c r="R3" s="3">
        <f t="shared" ref="R3:R66" si="2">G3*H3</f>
        <v>9717</v>
      </c>
      <c r="S3" s="3">
        <f t="shared" si="0"/>
        <v>1</v>
      </c>
    </row>
    <row r="4" spans="1:19" x14ac:dyDescent="0.25">
      <c r="A4" s="1">
        <v>3</v>
      </c>
      <c r="B4" s="1" t="s">
        <v>23</v>
      </c>
      <c r="C4" s="3" t="s">
        <v>24</v>
      </c>
      <c r="D4" s="3" t="s">
        <v>25</v>
      </c>
      <c r="E4" s="3" t="s">
        <v>26</v>
      </c>
      <c r="F4" s="4">
        <v>35100</v>
      </c>
      <c r="G4" s="3">
        <v>237</v>
      </c>
      <c r="H4" s="3">
        <v>58</v>
      </c>
      <c r="I4" s="3">
        <v>12</v>
      </c>
      <c r="J4" s="3">
        <v>6</v>
      </c>
      <c r="K4" s="3">
        <v>2</v>
      </c>
      <c r="L4" s="3">
        <v>150</v>
      </c>
      <c r="M4" s="3">
        <v>150</v>
      </c>
      <c r="N4" s="3">
        <v>12</v>
      </c>
      <c r="O4" s="3" t="s">
        <v>22</v>
      </c>
      <c r="Q4" s="4">
        <f t="shared" si="1"/>
        <v>164952</v>
      </c>
      <c r="R4" s="3">
        <f t="shared" si="2"/>
        <v>13746</v>
      </c>
      <c r="S4" s="3">
        <f t="shared" si="0"/>
        <v>2</v>
      </c>
    </row>
    <row r="5" spans="1:19" x14ac:dyDescent="0.25">
      <c r="A5" s="1">
        <v>4</v>
      </c>
      <c r="B5" s="1" t="s">
        <v>23</v>
      </c>
      <c r="C5" s="3" t="s">
        <v>24</v>
      </c>
      <c r="D5" s="3" t="s">
        <v>25</v>
      </c>
      <c r="E5" s="3" t="s">
        <v>26</v>
      </c>
      <c r="F5" s="4">
        <v>40500</v>
      </c>
      <c r="G5" s="3">
        <v>237</v>
      </c>
      <c r="H5" s="3">
        <v>66</v>
      </c>
      <c r="I5" s="3">
        <v>12</v>
      </c>
      <c r="J5" s="3">
        <v>6</v>
      </c>
      <c r="K5" s="3">
        <v>2</v>
      </c>
      <c r="L5" s="3">
        <v>150</v>
      </c>
      <c r="M5" s="3">
        <v>150</v>
      </c>
      <c r="N5" s="3">
        <v>12</v>
      </c>
      <c r="O5" s="3" t="s">
        <v>22</v>
      </c>
      <c r="Q5" s="4">
        <f t="shared" si="1"/>
        <v>187704</v>
      </c>
      <c r="R5" s="3">
        <f t="shared" si="2"/>
        <v>15642</v>
      </c>
      <c r="S5" s="3">
        <f t="shared" si="0"/>
        <v>2</v>
      </c>
    </row>
    <row r="6" spans="1:19" x14ac:dyDescent="0.25">
      <c r="A6" s="1">
        <v>5</v>
      </c>
      <c r="B6" s="1" t="s">
        <v>27</v>
      </c>
      <c r="C6" s="3" t="s">
        <v>28</v>
      </c>
      <c r="D6" s="3" t="s">
        <v>29</v>
      </c>
      <c r="E6" s="3" t="s">
        <v>21</v>
      </c>
      <c r="F6" s="4">
        <v>900</v>
      </c>
      <c r="G6" s="3">
        <v>32</v>
      </c>
      <c r="H6" s="3">
        <v>29</v>
      </c>
      <c r="I6" s="3">
        <v>8</v>
      </c>
      <c r="J6" s="3">
        <v>3</v>
      </c>
      <c r="K6" s="3">
        <v>2</v>
      </c>
      <c r="L6" s="3">
        <v>20</v>
      </c>
      <c r="M6" s="3">
        <v>70</v>
      </c>
      <c r="N6" s="3">
        <v>4</v>
      </c>
      <c r="O6" s="3" t="s">
        <v>22</v>
      </c>
      <c r="Q6" s="4">
        <f t="shared" si="1"/>
        <v>7424</v>
      </c>
      <c r="R6" s="3">
        <f t="shared" si="2"/>
        <v>928</v>
      </c>
      <c r="S6" s="3">
        <f t="shared" si="0"/>
        <v>2</v>
      </c>
    </row>
    <row r="7" spans="1:19" x14ac:dyDescent="0.25">
      <c r="A7" s="1">
        <v>6</v>
      </c>
      <c r="B7" s="1" t="s">
        <v>30</v>
      </c>
      <c r="C7" s="3" t="s">
        <v>31</v>
      </c>
      <c r="D7" s="3" t="s">
        <v>32</v>
      </c>
      <c r="E7" s="3" t="s">
        <v>21</v>
      </c>
      <c r="F7" s="4">
        <v>10224</v>
      </c>
      <c r="G7" s="3">
        <v>79</v>
      </c>
      <c r="H7" s="3">
        <v>43</v>
      </c>
      <c r="I7" s="3">
        <v>11.4</v>
      </c>
      <c r="J7" s="3">
        <v>6</v>
      </c>
      <c r="K7" s="3">
        <v>3</v>
      </c>
      <c r="L7" s="3">
        <v>58</v>
      </c>
      <c r="M7" s="3">
        <f>20+20</f>
        <v>40</v>
      </c>
      <c r="N7" s="3">
        <v>4</v>
      </c>
      <c r="O7" s="3" t="s">
        <v>22</v>
      </c>
      <c r="Q7" s="4">
        <f t="shared" si="1"/>
        <v>38725.800000000003</v>
      </c>
      <c r="R7" s="3">
        <f t="shared" si="2"/>
        <v>3397</v>
      </c>
      <c r="S7" s="3">
        <f t="shared" si="0"/>
        <v>1</v>
      </c>
    </row>
    <row r="8" spans="1:19" x14ac:dyDescent="0.25">
      <c r="A8" s="1">
        <v>7</v>
      </c>
      <c r="B8" s="1" t="s">
        <v>33</v>
      </c>
      <c r="C8" s="3" t="s">
        <v>34</v>
      </c>
      <c r="D8" s="3" t="s">
        <v>35</v>
      </c>
      <c r="E8" s="3" t="s">
        <v>21</v>
      </c>
      <c r="F8" s="4">
        <v>2960</v>
      </c>
      <c r="G8" s="3">
        <v>53</v>
      </c>
      <c r="H8" s="3">
        <v>25</v>
      </c>
      <c r="I8" s="3">
        <v>10</v>
      </c>
      <c r="J8" s="3">
        <v>4</v>
      </c>
      <c r="K8" s="3">
        <v>2</v>
      </c>
      <c r="L8" s="3">
        <v>34</v>
      </c>
      <c r="M8" s="3">
        <f>52+43</f>
        <v>95</v>
      </c>
      <c r="N8" s="3">
        <v>5</v>
      </c>
      <c r="O8" s="3" t="s">
        <v>22</v>
      </c>
      <c r="Q8" s="4">
        <f t="shared" si="1"/>
        <v>13250</v>
      </c>
      <c r="R8" s="3">
        <f t="shared" si="2"/>
        <v>1325</v>
      </c>
      <c r="S8" s="3">
        <f t="shared" si="0"/>
        <v>2</v>
      </c>
    </row>
    <row r="9" spans="1:19" x14ac:dyDescent="0.25">
      <c r="A9" s="1">
        <v>8</v>
      </c>
      <c r="B9" s="1" t="s">
        <v>36</v>
      </c>
      <c r="C9" s="3" t="s">
        <v>37</v>
      </c>
      <c r="D9" s="3" t="s">
        <v>38</v>
      </c>
      <c r="E9" s="3" t="s">
        <v>21</v>
      </c>
      <c r="F9" s="4">
        <v>1017</v>
      </c>
      <c r="G9" s="3">
        <v>32</v>
      </c>
      <c r="H9" s="3">
        <v>11</v>
      </c>
      <c r="I9" s="3">
        <v>14.3</v>
      </c>
      <c r="J9" s="3">
        <v>4</v>
      </c>
      <c r="K9" s="3">
        <v>1</v>
      </c>
      <c r="L9" s="3">
        <v>19</v>
      </c>
      <c r="M9" s="3">
        <f>40+5</f>
        <v>45</v>
      </c>
      <c r="N9" s="3">
        <v>4</v>
      </c>
      <c r="O9" s="3" t="s">
        <v>39</v>
      </c>
      <c r="P9" s="3" t="s">
        <v>40</v>
      </c>
      <c r="Q9" s="4">
        <f t="shared" si="1"/>
        <v>5033.6000000000004</v>
      </c>
      <c r="R9" s="3">
        <f t="shared" si="2"/>
        <v>352</v>
      </c>
      <c r="S9" s="3">
        <f t="shared" si="0"/>
        <v>1</v>
      </c>
    </row>
    <row r="10" spans="1:19" x14ac:dyDescent="0.25">
      <c r="A10" s="1">
        <v>9</v>
      </c>
      <c r="B10" s="1" t="s">
        <v>41</v>
      </c>
      <c r="C10" s="3" t="s">
        <v>42</v>
      </c>
      <c r="D10" s="3" t="s">
        <v>43</v>
      </c>
      <c r="E10" s="3" t="s">
        <v>26</v>
      </c>
      <c r="F10" s="4">
        <v>4400</v>
      </c>
      <c r="G10" s="3">
        <v>52</v>
      </c>
      <c r="H10" s="3">
        <v>23</v>
      </c>
      <c r="I10" s="3">
        <v>15</v>
      </c>
      <c r="J10" s="3">
        <v>9</v>
      </c>
      <c r="K10" s="3">
        <v>1</v>
      </c>
      <c r="L10" s="3">
        <v>34</v>
      </c>
      <c r="M10" s="3">
        <f>66+66</f>
        <v>132</v>
      </c>
      <c r="N10" s="3">
        <v>9</v>
      </c>
      <c r="O10" s="3" t="s">
        <v>22</v>
      </c>
      <c r="Q10" s="4">
        <f t="shared" si="1"/>
        <v>17940</v>
      </c>
      <c r="R10" s="3">
        <f t="shared" si="2"/>
        <v>1196</v>
      </c>
      <c r="S10" s="3">
        <f t="shared" si="0"/>
        <v>1</v>
      </c>
    </row>
    <row r="11" spans="1:19" x14ac:dyDescent="0.25">
      <c r="A11" s="1">
        <v>10</v>
      </c>
      <c r="B11" s="1" t="s">
        <v>41</v>
      </c>
      <c r="C11" s="3" t="s">
        <v>42</v>
      </c>
      <c r="D11" s="3" t="s">
        <v>43</v>
      </c>
      <c r="E11" s="3" t="s">
        <v>21</v>
      </c>
      <c r="F11" s="4">
        <v>4400</v>
      </c>
      <c r="G11" s="3">
        <v>51</v>
      </c>
      <c r="H11" s="3">
        <v>22</v>
      </c>
      <c r="I11" s="3">
        <v>15</v>
      </c>
      <c r="J11" s="3">
        <v>9</v>
      </c>
      <c r="K11" s="3">
        <v>1</v>
      </c>
      <c r="L11" s="3">
        <v>34</v>
      </c>
      <c r="M11" s="3">
        <f>66+66</f>
        <v>132</v>
      </c>
      <c r="N11" s="3">
        <v>9</v>
      </c>
      <c r="O11" s="3" t="s">
        <v>22</v>
      </c>
      <c r="Q11" s="4">
        <f t="shared" si="1"/>
        <v>16830</v>
      </c>
      <c r="R11" s="3">
        <f t="shared" si="2"/>
        <v>1122</v>
      </c>
      <c r="S11" s="3">
        <f t="shared" si="0"/>
        <v>1</v>
      </c>
    </row>
    <row r="12" spans="1:19" x14ac:dyDescent="0.25">
      <c r="A12" s="1">
        <v>11</v>
      </c>
      <c r="B12" s="1" t="s">
        <v>44</v>
      </c>
      <c r="C12" s="3" t="s">
        <v>45</v>
      </c>
      <c r="D12" s="3" t="s">
        <v>46</v>
      </c>
      <c r="E12" s="3" t="s">
        <v>21</v>
      </c>
      <c r="F12" s="4">
        <v>7900</v>
      </c>
      <c r="G12" s="3">
        <v>97</v>
      </c>
      <c r="H12" s="3">
        <v>54</v>
      </c>
      <c r="I12" s="3">
        <v>14</v>
      </c>
      <c r="J12" s="3">
        <v>5</v>
      </c>
      <c r="K12" s="3">
        <v>7</v>
      </c>
      <c r="L12" s="3">
        <v>53</v>
      </c>
      <c r="M12" s="3">
        <f>36+40</f>
        <v>76</v>
      </c>
      <c r="N12" s="3">
        <v>5</v>
      </c>
      <c r="O12" s="3" t="s">
        <v>22</v>
      </c>
      <c r="Q12" s="4">
        <f t="shared" si="1"/>
        <v>73332</v>
      </c>
      <c r="R12" s="3">
        <f t="shared" si="2"/>
        <v>5238</v>
      </c>
      <c r="S12" s="3">
        <f t="shared" si="0"/>
        <v>1</v>
      </c>
    </row>
    <row r="13" spans="1:19" x14ac:dyDescent="0.25">
      <c r="A13" s="1">
        <v>12</v>
      </c>
      <c r="B13" s="1" t="s">
        <v>47</v>
      </c>
      <c r="C13" s="3" t="s">
        <v>48</v>
      </c>
      <c r="D13" s="3" t="s">
        <v>49</v>
      </c>
      <c r="E13" s="3" t="s">
        <v>21</v>
      </c>
      <c r="F13" s="4">
        <v>19800</v>
      </c>
      <c r="G13" s="3">
        <v>97</v>
      </c>
      <c r="H13" s="3">
        <v>65</v>
      </c>
      <c r="I13" s="3">
        <v>12.4</v>
      </c>
      <c r="J13" s="3">
        <v>6</v>
      </c>
      <c r="K13" s="3">
        <v>6</v>
      </c>
      <c r="L13" s="3">
        <v>39</v>
      </c>
      <c r="M13" s="3">
        <f>50+50</f>
        <v>100</v>
      </c>
      <c r="N13" s="3">
        <v>6</v>
      </c>
      <c r="O13" s="3" t="s">
        <v>22</v>
      </c>
      <c r="Q13" s="4">
        <f t="shared" si="1"/>
        <v>78182</v>
      </c>
      <c r="R13" s="3">
        <f t="shared" si="2"/>
        <v>6305</v>
      </c>
      <c r="S13" s="3">
        <f t="shared" si="0"/>
        <v>1</v>
      </c>
    </row>
    <row r="14" spans="1:19" x14ac:dyDescent="0.25">
      <c r="A14" s="1">
        <v>13</v>
      </c>
      <c r="B14" s="1" t="s">
        <v>47</v>
      </c>
      <c r="C14" s="3" t="s">
        <v>48</v>
      </c>
      <c r="D14" s="3" t="s">
        <v>49</v>
      </c>
      <c r="E14" s="3" t="s">
        <v>21</v>
      </c>
      <c r="F14" s="4">
        <v>19800</v>
      </c>
      <c r="G14" s="3">
        <v>97</v>
      </c>
      <c r="H14" s="3">
        <v>65</v>
      </c>
      <c r="I14" s="3">
        <v>12.4</v>
      </c>
      <c r="J14" s="3">
        <v>6</v>
      </c>
      <c r="K14" s="3">
        <v>6</v>
      </c>
      <c r="L14" s="3">
        <v>39</v>
      </c>
      <c r="M14" s="3">
        <f>75+75</f>
        <v>150</v>
      </c>
      <c r="N14" s="3">
        <v>10</v>
      </c>
      <c r="O14" s="3" t="s">
        <v>22</v>
      </c>
      <c r="Q14" s="4">
        <f t="shared" si="1"/>
        <v>78182</v>
      </c>
      <c r="R14" s="3">
        <f t="shared" si="2"/>
        <v>6305</v>
      </c>
      <c r="S14" s="3">
        <f t="shared" si="0"/>
        <v>2</v>
      </c>
    </row>
    <row r="15" spans="1:19" x14ac:dyDescent="0.25">
      <c r="A15" s="1">
        <v>14</v>
      </c>
      <c r="B15" s="1" t="s">
        <v>47</v>
      </c>
      <c r="C15" s="3" t="s">
        <v>48</v>
      </c>
      <c r="D15" s="3" t="s">
        <v>49</v>
      </c>
      <c r="E15" s="3" t="s">
        <v>21</v>
      </c>
      <c r="F15" s="4">
        <v>19476</v>
      </c>
      <c r="G15" s="3">
        <v>96</v>
      </c>
      <c r="H15" s="3">
        <v>64</v>
      </c>
      <c r="I15" s="3">
        <v>12.4</v>
      </c>
      <c r="J15" s="3">
        <v>6</v>
      </c>
      <c r="K15" s="3">
        <v>5</v>
      </c>
      <c r="L15" s="3">
        <v>39</v>
      </c>
      <c r="M15" s="3">
        <f>50+50</f>
        <v>100</v>
      </c>
      <c r="N15" s="3">
        <v>6</v>
      </c>
      <c r="O15" s="3" t="s">
        <v>22</v>
      </c>
      <c r="Q15" s="4">
        <f t="shared" si="1"/>
        <v>76185.600000000006</v>
      </c>
      <c r="R15" s="3">
        <f t="shared" si="2"/>
        <v>6144</v>
      </c>
      <c r="S15" s="3">
        <f t="shared" si="0"/>
        <v>1</v>
      </c>
    </row>
    <row r="16" spans="1:19" x14ac:dyDescent="0.25">
      <c r="A16" s="1">
        <v>15</v>
      </c>
      <c r="B16" s="1" t="s">
        <v>47</v>
      </c>
      <c r="C16" s="3" t="s">
        <v>48</v>
      </c>
      <c r="D16" s="3" t="s">
        <v>49</v>
      </c>
      <c r="E16" s="3" t="s">
        <v>21</v>
      </c>
      <c r="F16" s="4">
        <v>19476</v>
      </c>
      <c r="G16" s="3">
        <v>96</v>
      </c>
      <c r="H16" s="3">
        <v>65</v>
      </c>
      <c r="I16" s="3">
        <v>12.4</v>
      </c>
      <c r="J16" s="3">
        <v>6</v>
      </c>
      <c r="K16" s="3">
        <v>5</v>
      </c>
      <c r="L16" s="3">
        <v>39</v>
      </c>
      <c r="M16" s="3">
        <f>75+75</f>
        <v>150</v>
      </c>
      <c r="N16" s="3">
        <v>9</v>
      </c>
      <c r="O16" s="3" t="s">
        <v>22</v>
      </c>
      <c r="Q16" s="4">
        <f t="shared" si="1"/>
        <v>77376</v>
      </c>
      <c r="R16" s="3">
        <f t="shared" si="2"/>
        <v>6240</v>
      </c>
      <c r="S16" s="3">
        <f t="shared" si="0"/>
        <v>2</v>
      </c>
    </row>
    <row r="17" spans="1:19" x14ac:dyDescent="0.25">
      <c r="A17" s="1">
        <v>16</v>
      </c>
      <c r="B17" s="1" t="s">
        <v>50</v>
      </c>
      <c r="C17" s="3" t="s">
        <v>51</v>
      </c>
      <c r="D17" s="3" t="s">
        <v>52</v>
      </c>
      <c r="E17" s="3" t="s">
        <v>21</v>
      </c>
      <c r="F17" s="4">
        <v>12000</v>
      </c>
      <c r="G17" s="3">
        <v>77</v>
      </c>
      <c r="H17" s="3">
        <v>51</v>
      </c>
      <c r="I17" s="3">
        <v>22</v>
      </c>
      <c r="J17" s="3">
        <v>9</v>
      </c>
      <c r="K17" s="3">
        <v>3</v>
      </c>
      <c r="L17" s="3">
        <v>48</v>
      </c>
      <c r="M17" s="3">
        <f>100+170</f>
        <v>270</v>
      </c>
      <c r="N17" s="3">
        <v>18</v>
      </c>
      <c r="O17" s="3" t="s">
        <v>22</v>
      </c>
      <c r="Q17" s="4">
        <f t="shared" si="1"/>
        <v>86394</v>
      </c>
      <c r="R17" s="3">
        <f t="shared" si="2"/>
        <v>3927</v>
      </c>
      <c r="S17" s="3">
        <f t="shared" si="0"/>
        <v>2</v>
      </c>
    </row>
    <row r="18" spans="1:19" x14ac:dyDescent="0.25">
      <c r="A18" s="1">
        <v>17</v>
      </c>
      <c r="B18" s="1" t="s">
        <v>47</v>
      </c>
      <c r="C18" s="3" t="s">
        <v>48</v>
      </c>
      <c r="D18" s="3" t="s">
        <v>49</v>
      </c>
      <c r="E18" s="3" t="s">
        <v>21</v>
      </c>
      <c r="F18" s="4">
        <v>19764</v>
      </c>
      <c r="G18" s="3">
        <v>99</v>
      </c>
      <c r="H18" s="3">
        <v>59</v>
      </c>
      <c r="I18" s="3">
        <v>12.4</v>
      </c>
      <c r="J18" s="3">
        <v>6</v>
      </c>
      <c r="K18" s="3">
        <v>3</v>
      </c>
      <c r="L18" s="3">
        <v>68</v>
      </c>
      <c r="M18" s="3">
        <f>50+50</f>
        <v>100</v>
      </c>
      <c r="N18" s="3">
        <v>6</v>
      </c>
      <c r="O18" s="3" t="s">
        <v>22</v>
      </c>
      <c r="Q18" s="4">
        <f t="shared" si="1"/>
        <v>72428.400000000009</v>
      </c>
      <c r="R18" s="3">
        <f t="shared" si="2"/>
        <v>5841</v>
      </c>
      <c r="S18" s="3">
        <f t="shared" si="0"/>
        <v>1</v>
      </c>
    </row>
    <row r="19" spans="1:19" x14ac:dyDescent="0.25">
      <c r="A19" s="1">
        <v>18</v>
      </c>
      <c r="B19" s="1" t="s">
        <v>47</v>
      </c>
      <c r="C19" s="3" t="s">
        <v>48</v>
      </c>
      <c r="D19" s="3" t="s">
        <v>49</v>
      </c>
      <c r="E19" s="3" t="s">
        <v>21</v>
      </c>
      <c r="F19" s="4">
        <v>19764</v>
      </c>
      <c r="G19" s="3">
        <v>99</v>
      </c>
      <c r="H19" s="3">
        <v>59</v>
      </c>
      <c r="I19" s="3">
        <v>12.4</v>
      </c>
      <c r="J19" s="3">
        <v>6</v>
      </c>
      <c r="K19" s="3">
        <v>3</v>
      </c>
      <c r="L19" s="3">
        <v>68</v>
      </c>
      <c r="M19" s="3">
        <f>75+75</f>
        <v>150</v>
      </c>
      <c r="N19" s="3">
        <v>9</v>
      </c>
      <c r="O19" s="3" t="s">
        <v>22</v>
      </c>
      <c r="Q19" s="4">
        <f t="shared" si="1"/>
        <v>72428.400000000009</v>
      </c>
      <c r="R19" s="3">
        <f t="shared" si="2"/>
        <v>5841</v>
      </c>
      <c r="S19" s="3">
        <f t="shared" si="0"/>
        <v>2</v>
      </c>
    </row>
    <row r="20" spans="1:19" x14ac:dyDescent="0.25">
      <c r="A20" s="1">
        <v>19</v>
      </c>
      <c r="B20" s="1" t="s">
        <v>53</v>
      </c>
      <c r="C20" s="3" t="s">
        <v>54</v>
      </c>
      <c r="D20" s="3" t="s">
        <v>55</v>
      </c>
      <c r="E20" s="3" t="s">
        <v>26</v>
      </c>
      <c r="F20" s="4">
        <f>6048+6088</f>
        <v>12136</v>
      </c>
      <c r="G20" s="3">
        <v>25</v>
      </c>
      <c r="H20" s="3">
        <v>110</v>
      </c>
      <c r="I20" s="3">
        <v>12</v>
      </c>
      <c r="J20" s="3">
        <v>4</v>
      </c>
      <c r="K20" s="3">
        <v>3</v>
      </c>
      <c r="L20" s="3">
        <v>75</v>
      </c>
      <c r="M20" s="3">
        <f>108+180</f>
        <v>288</v>
      </c>
      <c r="N20" s="3">
        <v>12</v>
      </c>
      <c r="O20" s="3" t="s">
        <v>22</v>
      </c>
      <c r="Q20" s="4">
        <f t="shared" si="1"/>
        <v>33000</v>
      </c>
      <c r="R20" s="3">
        <f t="shared" si="2"/>
        <v>2750</v>
      </c>
      <c r="S20" s="3">
        <f t="shared" si="0"/>
        <v>3</v>
      </c>
    </row>
    <row r="21" spans="1:19" x14ac:dyDescent="0.25">
      <c r="A21" s="1">
        <v>20</v>
      </c>
      <c r="B21" s="1" t="s">
        <v>53</v>
      </c>
      <c r="C21" s="3" t="s">
        <v>54</v>
      </c>
      <c r="D21" s="3" t="s">
        <v>55</v>
      </c>
      <c r="E21" s="3" t="s">
        <v>26</v>
      </c>
      <c r="F21" s="4">
        <f>6048+6088</f>
        <v>12136</v>
      </c>
      <c r="G21" s="3">
        <v>76</v>
      </c>
      <c r="H21" s="3">
        <v>34</v>
      </c>
      <c r="I21" s="3">
        <v>12</v>
      </c>
      <c r="J21" s="3">
        <v>4</v>
      </c>
      <c r="K21" s="3">
        <v>3</v>
      </c>
      <c r="L21" s="3">
        <v>49</v>
      </c>
      <c r="M21" s="3">
        <f>162+210</f>
        <v>372</v>
      </c>
      <c r="N21" s="3">
        <v>12</v>
      </c>
      <c r="O21" s="3" t="s">
        <v>22</v>
      </c>
      <c r="Q21" s="4">
        <f t="shared" si="1"/>
        <v>31008</v>
      </c>
      <c r="R21" s="3">
        <f t="shared" si="2"/>
        <v>2584</v>
      </c>
      <c r="S21" s="3">
        <f t="shared" si="0"/>
        <v>3</v>
      </c>
    </row>
    <row r="22" spans="1:19" x14ac:dyDescent="0.25">
      <c r="A22" s="1">
        <v>21</v>
      </c>
      <c r="B22" s="1" t="s">
        <v>53</v>
      </c>
      <c r="C22" s="3" t="s">
        <v>54</v>
      </c>
      <c r="D22" s="3" t="s">
        <v>55</v>
      </c>
      <c r="E22" s="3" t="s">
        <v>26</v>
      </c>
      <c r="F22" s="4">
        <v>12216</v>
      </c>
      <c r="G22" s="3">
        <v>25</v>
      </c>
      <c r="H22" s="3">
        <v>110</v>
      </c>
      <c r="I22" s="3">
        <v>13</v>
      </c>
      <c r="J22" s="3">
        <v>5</v>
      </c>
      <c r="K22" s="3">
        <v>3</v>
      </c>
      <c r="L22" s="3">
        <v>75</v>
      </c>
      <c r="M22" s="3">
        <f>108+180</f>
        <v>288</v>
      </c>
      <c r="N22" s="3">
        <v>12</v>
      </c>
      <c r="O22" s="3" t="s">
        <v>22</v>
      </c>
      <c r="Q22" s="4">
        <f t="shared" si="1"/>
        <v>35750</v>
      </c>
      <c r="R22" s="3">
        <f t="shared" si="2"/>
        <v>2750</v>
      </c>
      <c r="S22" s="3">
        <f t="shared" si="0"/>
        <v>3</v>
      </c>
    </row>
    <row r="23" spans="1:19" x14ac:dyDescent="0.25">
      <c r="A23" s="1">
        <v>22</v>
      </c>
      <c r="B23" s="1" t="s">
        <v>53</v>
      </c>
      <c r="C23" s="3" t="s">
        <v>54</v>
      </c>
      <c r="D23" s="3" t="s">
        <v>55</v>
      </c>
      <c r="E23" s="3" t="s">
        <v>26</v>
      </c>
      <c r="F23" s="4">
        <v>12216</v>
      </c>
      <c r="G23" s="3">
        <v>76</v>
      </c>
      <c r="H23" s="3">
        <v>34</v>
      </c>
      <c r="I23" s="3">
        <v>13</v>
      </c>
      <c r="J23" s="3">
        <v>5</v>
      </c>
      <c r="K23" s="3">
        <v>2</v>
      </c>
      <c r="L23" s="3">
        <v>49</v>
      </c>
      <c r="M23" s="3">
        <f>72+120</f>
        <v>192</v>
      </c>
      <c r="N23" s="3">
        <v>8</v>
      </c>
      <c r="O23" s="3" t="s">
        <v>22</v>
      </c>
      <c r="Q23" s="4">
        <f t="shared" si="1"/>
        <v>33592</v>
      </c>
      <c r="R23" s="3">
        <f t="shared" si="2"/>
        <v>2584</v>
      </c>
      <c r="S23" s="3">
        <f t="shared" si="0"/>
        <v>2</v>
      </c>
    </row>
    <row r="24" spans="1:19" x14ac:dyDescent="0.25">
      <c r="A24" s="1">
        <v>23</v>
      </c>
      <c r="B24" s="1" t="s">
        <v>53</v>
      </c>
      <c r="C24" s="3" t="s">
        <v>54</v>
      </c>
      <c r="D24" s="3" t="s">
        <v>55</v>
      </c>
      <c r="E24" s="3" t="s">
        <v>26</v>
      </c>
      <c r="F24" s="4">
        <v>13471</v>
      </c>
      <c r="G24" s="3">
        <v>25</v>
      </c>
      <c r="H24" s="3">
        <v>69</v>
      </c>
      <c r="I24" s="3">
        <v>14</v>
      </c>
      <c r="J24" s="3">
        <v>6</v>
      </c>
      <c r="K24" s="3">
        <v>2</v>
      </c>
      <c r="L24" s="3">
        <v>46</v>
      </c>
      <c r="M24" s="3">
        <f>72+120</f>
        <v>192</v>
      </c>
      <c r="N24" s="3">
        <v>8</v>
      </c>
      <c r="O24" s="3" t="s">
        <v>22</v>
      </c>
      <c r="Q24" s="4">
        <f t="shared" si="1"/>
        <v>24150</v>
      </c>
      <c r="R24" s="3">
        <f t="shared" si="2"/>
        <v>1725</v>
      </c>
      <c r="S24" s="3">
        <f t="shared" si="0"/>
        <v>2</v>
      </c>
    </row>
    <row r="25" spans="1:19" x14ac:dyDescent="0.25">
      <c r="A25" s="1">
        <v>24</v>
      </c>
      <c r="B25" s="1" t="s">
        <v>53</v>
      </c>
      <c r="C25" s="3" t="s">
        <v>54</v>
      </c>
      <c r="D25" s="3" t="s">
        <v>55</v>
      </c>
      <c r="E25" s="3" t="s">
        <v>26</v>
      </c>
      <c r="F25" s="4">
        <v>13471</v>
      </c>
      <c r="G25" s="3">
        <v>103</v>
      </c>
      <c r="H25" s="3">
        <v>34</v>
      </c>
      <c r="I25" s="3">
        <v>14</v>
      </c>
      <c r="J25" s="3">
        <v>6</v>
      </c>
      <c r="K25" s="3">
        <v>3</v>
      </c>
      <c r="L25" s="3">
        <v>68</v>
      </c>
      <c r="M25" s="3">
        <f>114+182</f>
        <v>296</v>
      </c>
      <c r="N25" s="3">
        <v>12</v>
      </c>
      <c r="O25" s="3" t="s">
        <v>22</v>
      </c>
      <c r="Q25" s="4">
        <f t="shared" si="1"/>
        <v>49028</v>
      </c>
      <c r="R25" s="3">
        <f t="shared" si="2"/>
        <v>3502</v>
      </c>
      <c r="S25" s="3">
        <f t="shared" si="0"/>
        <v>3</v>
      </c>
    </row>
    <row r="26" spans="1:19" x14ac:dyDescent="0.25">
      <c r="A26" s="1">
        <v>25</v>
      </c>
      <c r="B26" s="1" t="s">
        <v>56</v>
      </c>
      <c r="C26" s="3" t="s">
        <v>57</v>
      </c>
      <c r="D26" s="3" t="s">
        <v>58</v>
      </c>
      <c r="E26" s="3" t="s">
        <v>21</v>
      </c>
      <c r="F26" s="4">
        <v>11337</v>
      </c>
      <c r="G26" s="3">
        <v>51</v>
      </c>
      <c r="H26" s="3">
        <v>49</v>
      </c>
      <c r="I26" s="3">
        <v>22</v>
      </c>
      <c r="J26" s="3">
        <v>9</v>
      </c>
      <c r="K26" s="3">
        <v>5</v>
      </c>
      <c r="L26" s="3">
        <v>35</v>
      </c>
      <c r="M26" s="3">
        <v>266</v>
      </c>
      <c r="N26" s="3">
        <v>15</v>
      </c>
      <c r="O26" s="3" t="s">
        <v>22</v>
      </c>
      <c r="Q26" s="4">
        <f t="shared" si="1"/>
        <v>54978</v>
      </c>
      <c r="R26" s="3">
        <f t="shared" si="2"/>
        <v>2499</v>
      </c>
      <c r="S26" s="3">
        <f t="shared" si="0"/>
        <v>2</v>
      </c>
    </row>
    <row r="27" spans="1:19" x14ac:dyDescent="0.25">
      <c r="A27" s="1">
        <v>26</v>
      </c>
      <c r="B27" s="1" t="s">
        <v>59</v>
      </c>
      <c r="C27" s="3" t="s">
        <v>60</v>
      </c>
      <c r="D27" s="3" t="s">
        <v>61</v>
      </c>
      <c r="E27" s="3" t="s">
        <v>26</v>
      </c>
      <c r="F27" s="4">
        <v>45600</v>
      </c>
      <c r="G27" s="3">
        <v>130</v>
      </c>
      <c r="H27" s="3">
        <v>88</v>
      </c>
      <c r="I27" s="3">
        <v>23</v>
      </c>
      <c r="J27" s="3">
        <v>7</v>
      </c>
      <c r="K27" s="3">
        <v>2</v>
      </c>
      <c r="L27" s="3">
        <v>104</v>
      </c>
      <c r="M27" s="3">
        <f>145+145</f>
        <v>290</v>
      </c>
      <c r="N27" s="3">
        <v>14</v>
      </c>
      <c r="O27" s="3" t="s">
        <v>62</v>
      </c>
      <c r="P27" s="3" t="s">
        <v>63</v>
      </c>
      <c r="Q27" s="4">
        <f t="shared" si="1"/>
        <v>263120</v>
      </c>
      <c r="R27" s="3">
        <f t="shared" si="2"/>
        <v>11440</v>
      </c>
      <c r="S27" s="3">
        <f t="shared" si="0"/>
        <v>2</v>
      </c>
    </row>
    <row r="28" spans="1:19" x14ac:dyDescent="0.25">
      <c r="A28" s="1">
        <v>27</v>
      </c>
      <c r="B28" s="1" t="s">
        <v>59</v>
      </c>
      <c r="C28" s="3" t="s">
        <v>60</v>
      </c>
      <c r="D28" s="3" t="s">
        <v>61</v>
      </c>
      <c r="E28" s="3" t="s">
        <v>26</v>
      </c>
      <c r="F28" s="4">
        <v>45690</v>
      </c>
      <c r="G28" s="3">
        <v>130</v>
      </c>
      <c r="H28" s="3">
        <v>90</v>
      </c>
      <c r="I28" s="3">
        <v>23</v>
      </c>
      <c r="J28" s="3">
        <v>7</v>
      </c>
      <c r="K28" s="3">
        <v>3</v>
      </c>
      <c r="L28" s="3">
        <v>102</v>
      </c>
      <c r="M28" s="3">
        <f t="shared" ref="M28:M29" si="3">145+145</f>
        <v>290</v>
      </c>
      <c r="N28" s="3">
        <v>21</v>
      </c>
      <c r="O28" s="3" t="s">
        <v>62</v>
      </c>
      <c r="P28" s="3" t="s">
        <v>63</v>
      </c>
      <c r="Q28" s="4">
        <f t="shared" si="1"/>
        <v>269100</v>
      </c>
      <c r="R28" s="3">
        <f t="shared" si="2"/>
        <v>11700</v>
      </c>
      <c r="S28" s="3">
        <f t="shared" si="0"/>
        <v>3</v>
      </c>
    </row>
    <row r="29" spans="1:19" x14ac:dyDescent="0.25">
      <c r="A29" s="1">
        <v>28</v>
      </c>
      <c r="B29" s="1" t="s">
        <v>59</v>
      </c>
      <c r="C29" s="3" t="s">
        <v>60</v>
      </c>
      <c r="D29" s="3" t="s">
        <v>61</v>
      </c>
      <c r="E29" s="3" t="s">
        <v>26</v>
      </c>
      <c r="F29" s="4">
        <v>46512</v>
      </c>
      <c r="G29" s="3">
        <v>130</v>
      </c>
      <c r="H29" s="3">
        <v>105</v>
      </c>
      <c r="I29" s="3">
        <v>23</v>
      </c>
      <c r="J29" s="3">
        <v>6</v>
      </c>
      <c r="K29" s="3">
        <v>3</v>
      </c>
      <c r="L29" s="3">
        <v>102</v>
      </c>
      <c r="M29" s="3">
        <f t="shared" si="3"/>
        <v>290</v>
      </c>
      <c r="N29" s="3">
        <v>18</v>
      </c>
      <c r="O29" s="3" t="s">
        <v>62</v>
      </c>
      <c r="P29" s="3" t="s">
        <v>63</v>
      </c>
      <c r="Q29" s="4">
        <f t="shared" si="1"/>
        <v>313950</v>
      </c>
      <c r="R29" s="3">
        <f t="shared" si="2"/>
        <v>13650</v>
      </c>
      <c r="S29" s="3">
        <f t="shared" si="0"/>
        <v>3</v>
      </c>
    </row>
    <row r="30" spans="1:19" x14ac:dyDescent="0.25">
      <c r="A30" s="1">
        <v>29</v>
      </c>
      <c r="B30" s="1" t="s">
        <v>64</v>
      </c>
      <c r="C30" s="3" t="s">
        <v>65</v>
      </c>
      <c r="D30" s="3" t="s">
        <v>66</v>
      </c>
      <c r="E30" s="3" t="s">
        <v>21</v>
      </c>
      <c r="F30" s="4">
        <v>1775</v>
      </c>
      <c r="G30" s="3">
        <v>60</v>
      </c>
      <c r="H30" s="3">
        <v>11</v>
      </c>
      <c r="I30" s="3">
        <v>6.3</v>
      </c>
      <c r="J30" s="3">
        <v>5</v>
      </c>
      <c r="K30" s="3">
        <v>2</v>
      </c>
      <c r="L30" s="3">
        <v>41</v>
      </c>
      <c r="M30" s="3">
        <f>13+13</f>
        <v>26</v>
      </c>
      <c r="N30" s="3">
        <v>4</v>
      </c>
      <c r="O30" s="3" t="s">
        <v>22</v>
      </c>
      <c r="Q30" s="4">
        <f t="shared" si="1"/>
        <v>4158</v>
      </c>
      <c r="R30" s="3">
        <f t="shared" si="2"/>
        <v>660</v>
      </c>
      <c r="S30" s="3">
        <f t="shared" si="0"/>
        <v>1</v>
      </c>
    </row>
    <row r="31" spans="1:19" x14ac:dyDescent="0.25">
      <c r="A31" s="1">
        <v>30</v>
      </c>
      <c r="B31" s="1" t="s">
        <v>67</v>
      </c>
      <c r="C31" s="3" t="s">
        <v>60</v>
      </c>
      <c r="D31" s="3" t="s">
        <v>68</v>
      </c>
      <c r="E31" s="3" t="s">
        <v>21</v>
      </c>
      <c r="F31" s="4">
        <v>25168</v>
      </c>
      <c r="G31" s="3">
        <v>69</v>
      </c>
      <c r="H31" s="3">
        <v>105</v>
      </c>
      <c r="I31" s="3">
        <v>13</v>
      </c>
      <c r="J31" s="3">
        <v>7</v>
      </c>
      <c r="K31" s="3">
        <v>7</v>
      </c>
      <c r="L31" s="3">
        <v>52</v>
      </c>
      <c r="M31" s="3">
        <f>33+28</f>
        <v>61</v>
      </c>
      <c r="N31" s="3">
        <v>6</v>
      </c>
      <c r="O31" s="3" t="s">
        <v>22</v>
      </c>
      <c r="Q31" s="4">
        <f t="shared" si="1"/>
        <v>94185</v>
      </c>
      <c r="R31" s="3">
        <f t="shared" si="2"/>
        <v>7245</v>
      </c>
      <c r="S31" s="3">
        <f t="shared" si="0"/>
        <v>1</v>
      </c>
    </row>
    <row r="32" spans="1:19" x14ac:dyDescent="0.25">
      <c r="A32" s="1">
        <v>31</v>
      </c>
      <c r="B32" s="1" t="s">
        <v>67</v>
      </c>
      <c r="C32" s="3" t="s">
        <v>60</v>
      </c>
      <c r="D32" s="3" t="s">
        <v>68</v>
      </c>
      <c r="E32" s="3" t="s">
        <v>21</v>
      </c>
      <c r="F32" s="4">
        <v>25080</v>
      </c>
      <c r="G32" s="3">
        <v>69</v>
      </c>
      <c r="H32" s="3">
        <v>106</v>
      </c>
      <c r="I32" s="3">
        <v>13</v>
      </c>
      <c r="J32" s="3">
        <v>7</v>
      </c>
      <c r="K32" s="3">
        <v>6</v>
      </c>
      <c r="L32" s="3">
        <v>80</v>
      </c>
      <c r="M32" s="3">
        <f>33+28</f>
        <v>61</v>
      </c>
      <c r="N32" s="3">
        <v>8</v>
      </c>
      <c r="O32" s="3" t="s">
        <v>22</v>
      </c>
      <c r="Q32" s="4">
        <f t="shared" si="1"/>
        <v>95082</v>
      </c>
      <c r="R32" s="3">
        <f t="shared" si="2"/>
        <v>7314</v>
      </c>
      <c r="S32" s="3">
        <f t="shared" si="0"/>
        <v>2</v>
      </c>
    </row>
    <row r="33" spans="1:19" x14ac:dyDescent="0.25">
      <c r="A33" s="1">
        <v>32</v>
      </c>
      <c r="B33" s="1" t="s">
        <v>69</v>
      </c>
      <c r="C33" s="3" t="s">
        <v>42</v>
      </c>
      <c r="D33" s="3" t="s">
        <v>43</v>
      </c>
      <c r="E33" s="3" t="s">
        <v>21</v>
      </c>
      <c r="F33" s="4">
        <v>3455</v>
      </c>
      <c r="G33" s="3">
        <v>51</v>
      </c>
      <c r="H33" s="3">
        <v>20</v>
      </c>
      <c r="I33" s="3">
        <v>15</v>
      </c>
      <c r="J33" s="3">
        <v>9</v>
      </c>
      <c r="K33" s="3">
        <v>3</v>
      </c>
      <c r="L33" s="3">
        <v>33</v>
      </c>
      <c r="M33" s="3">
        <f>66+66</f>
        <v>132</v>
      </c>
      <c r="N33" s="3">
        <v>9</v>
      </c>
      <c r="O33" s="3" t="s">
        <v>22</v>
      </c>
      <c r="Q33" s="4">
        <f t="shared" si="1"/>
        <v>15300</v>
      </c>
      <c r="R33" s="3">
        <f t="shared" si="2"/>
        <v>1020</v>
      </c>
      <c r="S33" s="3">
        <f t="shared" si="0"/>
        <v>1</v>
      </c>
    </row>
    <row r="34" spans="1:19" x14ac:dyDescent="0.25">
      <c r="A34" s="1">
        <v>33</v>
      </c>
      <c r="B34" s="1" t="s">
        <v>59</v>
      </c>
      <c r="C34" s="3" t="s">
        <v>60</v>
      </c>
      <c r="D34" s="3" t="s">
        <v>61</v>
      </c>
      <c r="E34" s="3" t="s">
        <v>21</v>
      </c>
      <c r="F34" s="4">
        <v>24800</v>
      </c>
      <c r="G34" s="3">
        <v>133</v>
      </c>
      <c r="H34" s="3">
        <v>98</v>
      </c>
      <c r="I34" s="3">
        <v>23</v>
      </c>
      <c r="J34" s="3">
        <v>7</v>
      </c>
      <c r="K34" s="3">
        <v>7</v>
      </c>
      <c r="L34" s="3">
        <v>98</v>
      </c>
      <c r="M34" s="3">
        <f>145+145</f>
        <v>290</v>
      </c>
      <c r="N34" s="3">
        <v>21</v>
      </c>
      <c r="O34" s="3" t="s">
        <v>39</v>
      </c>
      <c r="P34" s="3" t="s">
        <v>63</v>
      </c>
      <c r="Q34" s="4">
        <f t="shared" si="1"/>
        <v>299782</v>
      </c>
      <c r="R34" s="3">
        <f t="shared" si="2"/>
        <v>13034</v>
      </c>
      <c r="S34" s="3">
        <f t="shared" ref="S34:S65" si="4">_xlfn.CEILING.MATH(IF(E34="ESS",R34/(G34*(H34/K34)),N34/J34))</f>
        <v>3</v>
      </c>
    </row>
    <row r="35" spans="1:19" x14ac:dyDescent="0.25">
      <c r="A35" s="1">
        <v>34</v>
      </c>
      <c r="B35" s="1" t="s">
        <v>70</v>
      </c>
      <c r="C35" s="3" t="s">
        <v>71</v>
      </c>
      <c r="D35" s="3" t="s">
        <v>72</v>
      </c>
      <c r="E35" s="3" t="s">
        <v>26</v>
      </c>
      <c r="F35" s="4">
        <v>1100</v>
      </c>
      <c r="G35" s="3">
        <v>27</v>
      </c>
      <c r="H35" s="3">
        <v>22</v>
      </c>
      <c r="I35" s="3">
        <v>9.5</v>
      </c>
      <c r="J35" s="3">
        <v>6</v>
      </c>
      <c r="K35" s="3">
        <v>1</v>
      </c>
      <c r="L35" s="3">
        <v>11</v>
      </c>
      <c r="M35" s="3">
        <f>40+40</f>
        <v>80</v>
      </c>
      <c r="N35" s="3">
        <v>6</v>
      </c>
      <c r="O35" s="3" t="s">
        <v>22</v>
      </c>
      <c r="Q35" s="4">
        <f t="shared" si="1"/>
        <v>5643</v>
      </c>
      <c r="R35" s="3">
        <f t="shared" si="2"/>
        <v>594</v>
      </c>
      <c r="S35" s="3">
        <f t="shared" si="4"/>
        <v>1</v>
      </c>
    </row>
    <row r="36" spans="1:19" x14ac:dyDescent="0.25">
      <c r="A36" s="1">
        <v>35</v>
      </c>
      <c r="B36" s="1" t="s">
        <v>73</v>
      </c>
      <c r="C36" s="3" t="s">
        <v>74</v>
      </c>
      <c r="D36" s="3" t="s">
        <v>61</v>
      </c>
      <c r="E36" s="3" t="s">
        <v>26</v>
      </c>
      <c r="F36" s="4">
        <v>18500</v>
      </c>
      <c r="G36" s="3">
        <v>60</v>
      </c>
      <c r="H36" s="3">
        <v>110</v>
      </c>
      <c r="I36" s="3">
        <v>5.2</v>
      </c>
      <c r="J36" s="3">
        <v>2</v>
      </c>
      <c r="K36" s="3">
        <v>8</v>
      </c>
      <c r="L36" s="3">
        <v>85</v>
      </c>
      <c r="M36" s="3">
        <f>250+250</f>
        <v>500</v>
      </c>
      <c r="N36" s="3">
        <v>16</v>
      </c>
      <c r="O36" s="3" t="s">
        <v>22</v>
      </c>
      <c r="Q36" s="4">
        <f t="shared" si="1"/>
        <v>34320</v>
      </c>
      <c r="R36" s="3">
        <f t="shared" si="2"/>
        <v>6600</v>
      </c>
      <c r="S36" s="3">
        <f t="shared" si="4"/>
        <v>8</v>
      </c>
    </row>
    <row r="37" spans="1:19" ht="15" customHeight="1" x14ac:dyDescent="0.25">
      <c r="A37" s="1">
        <v>36</v>
      </c>
      <c r="B37" s="1" t="s">
        <v>75</v>
      </c>
      <c r="C37" s="3" t="s">
        <v>74</v>
      </c>
      <c r="D37" s="3" t="s">
        <v>68</v>
      </c>
      <c r="E37" s="3" t="s">
        <v>26</v>
      </c>
      <c r="F37" s="4">
        <v>77000</v>
      </c>
      <c r="G37" s="3">
        <v>163</v>
      </c>
      <c r="H37" s="3">
        <v>80</v>
      </c>
      <c r="I37" s="3">
        <v>20</v>
      </c>
      <c r="J37" s="3">
        <v>8</v>
      </c>
      <c r="K37" s="3">
        <v>3</v>
      </c>
      <c r="L37" s="3">
        <v>112</v>
      </c>
      <c r="M37" s="3">
        <f>242+219</f>
        <v>461</v>
      </c>
      <c r="N37" s="3">
        <v>24</v>
      </c>
      <c r="O37" s="3" t="s">
        <v>22</v>
      </c>
      <c r="Q37" s="4">
        <f t="shared" si="1"/>
        <v>260800</v>
      </c>
      <c r="R37" s="3">
        <f t="shared" si="2"/>
        <v>13040</v>
      </c>
      <c r="S37" s="3">
        <f t="shared" si="4"/>
        <v>3</v>
      </c>
    </row>
    <row r="38" spans="1:19" ht="15" customHeight="1" x14ac:dyDescent="0.25">
      <c r="A38" s="1">
        <v>37</v>
      </c>
      <c r="B38" s="1" t="s">
        <v>76</v>
      </c>
      <c r="C38" s="3" t="s">
        <v>77</v>
      </c>
      <c r="D38" s="3" t="s">
        <v>78</v>
      </c>
      <c r="E38" s="3" t="s">
        <v>26</v>
      </c>
      <c r="F38" s="4">
        <v>10900</v>
      </c>
      <c r="G38" s="3">
        <v>66</v>
      </c>
      <c r="H38" s="3">
        <v>50</v>
      </c>
      <c r="I38" s="3">
        <v>12</v>
      </c>
      <c r="J38" s="3">
        <v>6</v>
      </c>
      <c r="K38" s="3">
        <v>2</v>
      </c>
      <c r="L38" s="3">
        <v>35</v>
      </c>
      <c r="M38" s="3">
        <f>95+95</f>
        <v>190</v>
      </c>
      <c r="N38" s="3">
        <v>12</v>
      </c>
      <c r="O38" s="3" t="s">
        <v>22</v>
      </c>
      <c r="Q38" s="4">
        <f t="shared" si="1"/>
        <v>39600</v>
      </c>
      <c r="R38" s="3">
        <f t="shared" si="2"/>
        <v>3300</v>
      </c>
      <c r="S38" s="3">
        <f t="shared" si="4"/>
        <v>2</v>
      </c>
    </row>
    <row r="39" spans="1:19" ht="15" customHeight="1" x14ac:dyDescent="0.25">
      <c r="A39" s="1">
        <v>38</v>
      </c>
      <c r="B39" s="1" t="s">
        <v>79</v>
      </c>
      <c r="C39" s="3" t="s">
        <v>54</v>
      </c>
      <c r="D39" s="3" t="s">
        <v>80</v>
      </c>
      <c r="E39" s="3" t="s">
        <v>26</v>
      </c>
      <c r="F39" s="4">
        <v>2088</v>
      </c>
      <c r="G39" s="3">
        <v>25</v>
      </c>
      <c r="H39" s="3">
        <v>33</v>
      </c>
      <c r="I39" s="3">
        <v>15</v>
      </c>
      <c r="J39" s="3">
        <v>6</v>
      </c>
      <c r="K39" s="3">
        <v>2</v>
      </c>
      <c r="L39" s="3">
        <v>12</v>
      </c>
      <c r="M39" s="3">
        <f>80+80</f>
        <v>160</v>
      </c>
      <c r="N39" s="3">
        <v>6</v>
      </c>
      <c r="O39" s="3" t="s">
        <v>22</v>
      </c>
      <c r="Q39" s="4">
        <f t="shared" si="1"/>
        <v>12375</v>
      </c>
      <c r="R39" s="3">
        <f t="shared" si="2"/>
        <v>825</v>
      </c>
      <c r="S39" s="3">
        <f t="shared" si="4"/>
        <v>2</v>
      </c>
    </row>
    <row r="40" spans="1:19" ht="15" customHeight="1" x14ac:dyDescent="0.25">
      <c r="A40" s="1">
        <v>39</v>
      </c>
      <c r="B40" s="1" t="s">
        <v>81</v>
      </c>
      <c r="C40" s="3" t="s">
        <v>82</v>
      </c>
      <c r="D40" s="3" t="s">
        <v>83</v>
      </c>
      <c r="E40" s="3" t="s">
        <v>21</v>
      </c>
      <c r="F40" s="4">
        <v>18300</v>
      </c>
      <c r="G40" s="3">
        <v>65</v>
      </c>
      <c r="H40" s="3">
        <v>33</v>
      </c>
      <c r="I40" s="3">
        <v>25</v>
      </c>
      <c r="J40" s="3">
        <v>15</v>
      </c>
      <c r="K40" s="3">
        <v>2</v>
      </c>
      <c r="L40" s="3">
        <v>45</v>
      </c>
      <c r="M40" s="3">
        <f>60+90</f>
        <v>150</v>
      </c>
      <c r="N40" s="3">
        <v>12</v>
      </c>
      <c r="O40" s="3" t="s">
        <v>22</v>
      </c>
      <c r="Q40" s="4">
        <f t="shared" si="1"/>
        <v>53625</v>
      </c>
      <c r="R40" s="3">
        <f t="shared" si="2"/>
        <v>2145</v>
      </c>
      <c r="S40" s="3">
        <f t="shared" si="4"/>
        <v>1</v>
      </c>
    </row>
    <row r="41" spans="1:19" ht="15" customHeight="1" x14ac:dyDescent="0.25">
      <c r="A41" s="1">
        <v>40</v>
      </c>
      <c r="B41" s="1" t="s">
        <v>84</v>
      </c>
      <c r="C41" s="3" t="s">
        <v>85</v>
      </c>
      <c r="D41" s="3" t="s">
        <v>86</v>
      </c>
      <c r="E41" s="3" t="s">
        <v>26</v>
      </c>
      <c r="F41" s="4">
        <v>52535</v>
      </c>
      <c r="G41" s="3">
        <v>182</v>
      </c>
      <c r="H41" s="3">
        <v>84</v>
      </c>
      <c r="I41" s="3">
        <v>12</v>
      </c>
      <c r="J41" s="3">
        <v>5</v>
      </c>
      <c r="K41" s="3">
        <v>5</v>
      </c>
      <c r="L41" s="3">
        <v>127</v>
      </c>
      <c r="M41" s="3">
        <f>300+300</f>
        <v>600</v>
      </c>
      <c r="N41" s="3">
        <v>25</v>
      </c>
      <c r="O41" s="3" t="s">
        <v>22</v>
      </c>
      <c r="Q41" s="4">
        <f t="shared" si="1"/>
        <v>183456</v>
      </c>
      <c r="R41" s="3">
        <f t="shared" si="2"/>
        <v>15288</v>
      </c>
      <c r="S41" s="3">
        <f t="shared" si="4"/>
        <v>5</v>
      </c>
    </row>
    <row r="42" spans="1:19" ht="15" customHeight="1" x14ac:dyDescent="0.25">
      <c r="A42" s="1">
        <v>41</v>
      </c>
      <c r="B42" s="1" t="s">
        <v>87</v>
      </c>
      <c r="C42" s="3" t="s">
        <v>88</v>
      </c>
      <c r="D42" s="3" t="s">
        <v>89</v>
      </c>
      <c r="E42" s="3" t="s">
        <v>21</v>
      </c>
      <c r="F42" s="4">
        <v>3168</v>
      </c>
      <c r="G42" s="3">
        <v>43</v>
      </c>
      <c r="H42" s="3">
        <v>39</v>
      </c>
      <c r="I42" s="3">
        <v>9.5</v>
      </c>
      <c r="J42" s="3">
        <v>6</v>
      </c>
      <c r="K42" s="3">
        <v>2</v>
      </c>
      <c r="L42" s="3">
        <v>18</v>
      </c>
      <c r="M42" s="3">
        <v>100</v>
      </c>
      <c r="N42" s="3">
        <v>5</v>
      </c>
      <c r="O42" s="3" t="s">
        <v>22</v>
      </c>
      <c r="Q42" s="4">
        <f t="shared" si="1"/>
        <v>15931.5</v>
      </c>
      <c r="R42" s="3">
        <f t="shared" si="2"/>
        <v>1677</v>
      </c>
      <c r="S42" s="3">
        <f t="shared" si="4"/>
        <v>1</v>
      </c>
    </row>
    <row r="43" spans="1:19" ht="15" customHeight="1" x14ac:dyDescent="0.25">
      <c r="A43" s="1">
        <v>42</v>
      </c>
      <c r="B43" s="1" t="s">
        <v>87</v>
      </c>
      <c r="C43" s="3" t="s">
        <v>88</v>
      </c>
      <c r="D43" s="3" t="s">
        <v>89</v>
      </c>
      <c r="E43" s="3" t="s">
        <v>21</v>
      </c>
      <c r="F43" s="4">
        <v>3168</v>
      </c>
      <c r="G43" s="3">
        <v>41</v>
      </c>
      <c r="H43" s="3">
        <v>38</v>
      </c>
      <c r="I43" s="3">
        <v>9.5</v>
      </c>
      <c r="J43" s="3">
        <v>6</v>
      </c>
      <c r="K43" s="3">
        <v>2</v>
      </c>
      <c r="L43" s="3">
        <v>18</v>
      </c>
      <c r="M43" s="3">
        <v>100</v>
      </c>
      <c r="N43" s="3">
        <v>6</v>
      </c>
      <c r="O43" s="3" t="s">
        <v>22</v>
      </c>
      <c r="Q43" s="4">
        <f t="shared" si="1"/>
        <v>14801</v>
      </c>
      <c r="R43" s="3">
        <f t="shared" si="2"/>
        <v>1558</v>
      </c>
      <c r="S43" s="3">
        <f t="shared" si="4"/>
        <v>1</v>
      </c>
    </row>
    <row r="44" spans="1:19" ht="15" customHeight="1" x14ac:dyDescent="0.25">
      <c r="A44" s="1">
        <v>43</v>
      </c>
      <c r="B44" s="1" t="s">
        <v>87</v>
      </c>
      <c r="C44" s="3" t="s">
        <v>88</v>
      </c>
      <c r="D44" s="3" t="s">
        <v>89</v>
      </c>
      <c r="E44" s="3" t="s">
        <v>21</v>
      </c>
      <c r="F44" s="4">
        <v>3168</v>
      </c>
      <c r="G44" s="3">
        <v>45</v>
      </c>
      <c r="H44" s="3">
        <v>40</v>
      </c>
      <c r="I44" s="3">
        <v>9.5</v>
      </c>
      <c r="J44" s="3">
        <v>6</v>
      </c>
      <c r="K44" s="3">
        <v>2</v>
      </c>
      <c r="L44" s="3">
        <v>18</v>
      </c>
      <c r="M44" s="3">
        <v>100</v>
      </c>
      <c r="N44" s="3">
        <v>7</v>
      </c>
      <c r="O44" s="3" t="s">
        <v>22</v>
      </c>
      <c r="Q44" s="4">
        <f t="shared" si="1"/>
        <v>17100</v>
      </c>
      <c r="R44" s="3">
        <f t="shared" si="2"/>
        <v>1800</v>
      </c>
      <c r="S44" s="3">
        <f t="shared" si="4"/>
        <v>2</v>
      </c>
    </row>
    <row r="45" spans="1:19" ht="15" customHeight="1" x14ac:dyDescent="0.25">
      <c r="A45" s="1">
        <v>44</v>
      </c>
      <c r="B45" s="1" t="s">
        <v>90</v>
      </c>
      <c r="C45" s="3" t="s">
        <v>34</v>
      </c>
      <c r="D45" s="3" t="s">
        <v>91</v>
      </c>
      <c r="E45" s="3" t="s">
        <v>26</v>
      </c>
      <c r="F45" s="4">
        <f>4500</f>
        <v>4500</v>
      </c>
      <c r="G45" s="3">
        <v>40</v>
      </c>
      <c r="H45" s="3">
        <v>24</v>
      </c>
      <c r="I45" s="3">
        <v>12</v>
      </c>
      <c r="J45" s="3">
        <v>4</v>
      </c>
      <c r="K45" s="3">
        <v>2</v>
      </c>
      <c r="L45" s="3">
        <v>27</v>
      </c>
      <c r="M45" s="3">
        <f>(80+3)+43</f>
        <v>126</v>
      </c>
      <c r="N45" s="3">
        <v>6</v>
      </c>
      <c r="O45" s="3" t="s">
        <v>22</v>
      </c>
      <c r="Q45" s="4">
        <f t="shared" si="1"/>
        <v>11520</v>
      </c>
      <c r="R45" s="3">
        <f t="shared" si="2"/>
        <v>960</v>
      </c>
      <c r="S45" s="3">
        <f t="shared" si="4"/>
        <v>2</v>
      </c>
    </row>
    <row r="46" spans="1:19" ht="15" customHeight="1" x14ac:dyDescent="0.25">
      <c r="A46" s="1">
        <v>45</v>
      </c>
      <c r="B46" s="1" t="s">
        <v>90</v>
      </c>
      <c r="C46" s="3" t="s">
        <v>34</v>
      </c>
      <c r="D46" s="3" t="s">
        <v>91</v>
      </c>
      <c r="E46" s="3" t="s">
        <v>26</v>
      </c>
      <c r="F46" s="4">
        <f>4500</f>
        <v>4500</v>
      </c>
      <c r="G46" s="3">
        <v>40</v>
      </c>
      <c r="H46" s="3">
        <v>24</v>
      </c>
      <c r="I46" s="3">
        <v>12</v>
      </c>
      <c r="J46" s="3">
        <v>7</v>
      </c>
      <c r="K46" s="3">
        <v>2</v>
      </c>
      <c r="L46" s="3">
        <v>27</v>
      </c>
      <c r="M46" s="3">
        <f>(80+3)+43</f>
        <v>126</v>
      </c>
      <c r="N46" s="3">
        <v>7</v>
      </c>
      <c r="O46" s="3" t="s">
        <v>22</v>
      </c>
      <c r="Q46" s="4">
        <f t="shared" si="1"/>
        <v>11520</v>
      </c>
      <c r="R46" s="3">
        <f t="shared" si="2"/>
        <v>960</v>
      </c>
      <c r="S46" s="3">
        <f t="shared" si="4"/>
        <v>2</v>
      </c>
    </row>
    <row r="47" spans="1:19" ht="15" customHeight="1" x14ac:dyDescent="0.25">
      <c r="A47" s="1">
        <v>46</v>
      </c>
      <c r="B47" s="1" t="s">
        <v>92</v>
      </c>
      <c r="C47" s="3" t="s">
        <v>93</v>
      </c>
      <c r="D47" s="3" t="s">
        <v>94</v>
      </c>
      <c r="E47" s="3" t="s">
        <v>26</v>
      </c>
      <c r="F47" s="4">
        <v>2000</v>
      </c>
      <c r="G47" s="3">
        <v>34</v>
      </c>
      <c r="H47" s="3">
        <v>14</v>
      </c>
      <c r="I47" s="3">
        <v>18</v>
      </c>
      <c r="J47" s="3">
        <v>7</v>
      </c>
      <c r="K47" s="3">
        <v>1</v>
      </c>
      <c r="L47" s="3">
        <v>19</v>
      </c>
      <c r="M47" s="3">
        <f>60+60</f>
        <v>120</v>
      </c>
      <c r="N47" s="3">
        <v>7</v>
      </c>
      <c r="O47" s="3" t="s">
        <v>22</v>
      </c>
      <c r="Q47" s="4">
        <f t="shared" si="1"/>
        <v>8568</v>
      </c>
      <c r="R47" s="3">
        <f t="shared" si="2"/>
        <v>476</v>
      </c>
      <c r="S47" s="3">
        <f t="shared" si="4"/>
        <v>1</v>
      </c>
    </row>
    <row r="48" spans="1:19" ht="15" customHeight="1" x14ac:dyDescent="0.25">
      <c r="A48" s="1">
        <v>47</v>
      </c>
      <c r="B48" s="1" t="s">
        <v>95</v>
      </c>
      <c r="C48" s="3" t="s">
        <v>42</v>
      </c>
      <c r="D48" s="3" t="s">
        <v>96</v>
      </c>
      <c r="E48" s="3" t="s">
        <v>21</v>
      </c>
      <c r="F48" s="4">
        <v>5780</v>
      </c>
      <c r="G48" s="3">
        <v>61</v>
      </c>
      <c r="H48" s="3">
        <v>24</v>
      </c>
      <c r="I48" s="3">
        <v>16</v>
      </c>
      <c r="J48" s="3">
        <v>8</v>
      </c>
      <c r="K48" s="3">
        <v>2</v>
      </c>
      <c r="L48" s="3">
        <v>39</v>
      </c>
      <c r="M48" s="3">
        <v>25</v>
      </c>
      <c r="N48" s="3">
        <v>4</v>
      </c>
      <c r="O48" s="3" t="s">
        <v>22</v>
      </c>
      <c r="Q48" s="4">
        <f t="shared" si="1"/>
        <v>23424</v>
      </c>
      <c r="R48" s="3">
        <f t="shared" si="2"/>
        <v>1464</v>
      </c>
      <c r="S48" s="3">
        <f t="shared" si="4"/>
        <v>1</v>
      </c>
    </row>
    <row r="49" spans="1:19" ht="15" customHeight="1" x14ac:dyDescent="0.25">
      <c r="A49" s="1">
        <v>48</v>
      </c>
      <c r="B49" s="1" t="s">
        <v>97</v>
      </c>
      <c r="C49" s="3" t="s">
        <v>98</v>
      </c>
      <c r="D49" s="3" t="s">
        <v>99</v>
      </c>
      <c r="E49" s="3" t="s">
        <v>26</v>
      </c>
      <c r="F49" s="4">
        <v>7800</v>
      </c>
      <c r="G49" s="3">
        <v>74</v>
      </c>
      <c r="H49" s="3">
        <v>24</v>
      </c>
      <c r="I49" s="3">
        <v>23</v>
      </c>
      <c r="J49" s="3">
        <v>8</v>
      </c>
      <c r="K49" s="3">
        <v>2</v>
      </c>
      <c r="L49" s="3">
        <v>45</v>
      </c>
      <c r="M49" s="3">
        <f>305+303</f>
        <v>608</v>
      </c>
      <c r="N49" s="3">
        <v>16</v>
      </c>
      <c r="O49" s="3" t="s">
        <v>22</v>
      </c>
      <c r="Q49" s="4">
        <f t="shared" si="1"/>
        <v>40848</v>
      </c>
      <c r="R49" s="3">
        <f t="shared" si="2"/>
        <v>1776</v>
      </c>
      <c r="S49" s="3">
        <f t="shared" si="4"/>
        <v>2</v>
      </c>
    </row>
    <row r="50" spans="1:19" ht="15" customHeight="1" x14ac:dyDescent="0.25">
      <c r="A50" s="1">
        <v>49</v>
      </c>
      <c r="B50" s="1" t="s">
        <v>81</v>
      </c>
      <c r="C50" s="3" t="s">
        <v>100</v>
      </c>
      <c r="D50" s="3" t="s">
        <v>101</v>
      </c>
      <c r="E50" s="3" t="s">
        <v>21</v>
      </c>
      <c r="F50" s="4">
        <v>4050</v>
      </c>
      <c r="G50" s="3">
        <v>60</v>
      </c>
      <c r="H50" s="3">
        <v>31</v>
      </c>
      <c r="I50" s="3">
        <v>10</v>
      </c>
      <c r="J50" s="3">
        <v>4</v>
      </c>
      <c r="K50" s="3">
        <v>3</v>
      </c>
      <c r="L50" s="3">
        <v>21</v>
      </c>
      <c r="M50" s="3">
        <f>80+80</f>
        <v>160</v>
      </c>
      <c r="N50" s="3">
        <v>10</v>
      </c>
      <c r="O50" s="3" t="s">
        <v>22</v>
      </c>
      <c r="Q50" s="4">
        <f t="shared" si="1"/>
        <v>18600</v>
      </c>
      <c r="R50" s="3">
        <f t="shared" si="2"/>
        <v>1860</v>
      </c>
      <c r="S50" s="3">
        <f t="shared" si="4"/>
        <v>3</v>
      </c>
    </row>
    <row r="51" spans="1:19" ht="15" customHeight="1" x14ac:dyDescent="0.25">
      <c r="A51" s="1">
        <v>50</v>
      </c>
      <c r="B51" s="1" t="s">
        <v>102</v>
      </c>
      <c r="C51" s="3" t="s">
        <v>103</v>
      </c>
      <c r="D51" s="3" t="s">
        <v>104</v>
      </c>
      <c r="E51" s="3" t="s">
        <v>21</v>
      </c>
      <c r="F51" s="4">
        <v>1900</v>
      </c>
      <c r="G51" s="3">
        <v>29</v>
      </c>
      <c r="H51" s="3">
        <v>27</v>
      </c>
      <c r="I51" s="3">
        <v>14</v>
      </c>
      <c r="J51" s="3">
        <v>5</v>
      </c>
      <c r="K51" s="3">
        <v>2</v>
      </c>
      <c r="L51" s="3">
        <v>19</v>
      </c>
      <c r="M51" s="3">
        <f>33+66</f>
        <v>99</v>
      </c>
      <c r="N51" s="3">
        <v>6</v>
      </c>
      <c r="O51" s="3" t="s">
        <v>39</v>
      </c>
      <c r="P51" s="3" t="s">
        <v>105</v>
      </c>
      <c r="Q51" s="4">
        <f t="shared" si="1"/>
        <v>10962</v>
      </c>
      <c r="R51" s="3">
        <f t="shared" si="2"/>
        <v>783</v>
      </c>
      <c r="S51" s="3">
        <f t="shared" si="4"/>
        <v>2</v>
      </c>
    </row>
    <row r="52" spans="1:19" ht="15" customHeight="1" x14ac:dyDescent="0.25">
      <c r="A52" s="1">
        <v>51</v>
      </c>
      <c r="B52" s="1" t="s">
        <v>106</v>
      </c>
      <c r="C52" s="3" t="s">
        <v>107</v>
      </c>
      <c r="D52" s="3" t="s">
        <v>108</v>
      </c>
      <c r="E52" s="3" t="s">
        <v>21</v>
      </c>
      <c r="F52" s="4">
        <v>3600</v>
      </c>
      <c r="G52" s="3">
        <v>20</v>
      </c>
      <c r="H52" s="3">
        <v>52</v>
      </c>
      <c r="I52" s="3">
        <v>14</v>
      </c>
      <c r="J52" s="3">
        <v>6</v>
      </c>
      <c r="K52" s="3">
        <v>2</v>
      </c>
      <c r="L52" s="3">
        <v>35</v>
      </c>
      <c r="M52" s="3">
        <f>20+20</f>
        <v>40</v>
      </c>
      <c r="N52" s="3">
        <v>4</v>
      </c>
      <c r="O52" s="3" t="s">
        <v>22</v>
      </c>
      <c r="Q52" s="4">
        <f t="shared" si="1"/>
        <v>14560</v>
      </c>
      <c r="R52" s="3">
        <f t="shared" si="2"/>
        <v>1040</v>
      </c>
      <c r="S52" s="3">
        <f t="shared" si="4"/>
        <v>1</v>
      </c>
    </row>
    <row r="53" spans="1:19" ht="15" customHeight="1" x14ac:dyDescent="0.25">
      <c r="A53" s="1">
        <v>52</v>
      </c>
      <c r="B53" s="1" t="s">
        <v>109</v>
      </c>
      <c r="C53" s="3" t="s">
        <v>107</v>
      </c>
      <c r="D53" s="3" t="s">
        <v>108</v>
      </c>
      <c r="E53" s="3" t="s">
        <v>21</v>
      </c>
      <c r="F53" s="4">
        <v>2800</v>
      </c>
      <c r="G53" s="3">
        <v>20</v>
      </c>
      <c r="H53" s="3">
        <v>52</v>
      </c>
      <c r="I53" s="3">
        <v>14</v>
      </c>
      <c r="J53" s="3">
        <v>6</v>
      </c>
      <c r="K53" s="3">
        <v>2</v>
      </c>
      <c r="L53" s="3">
        <v>35</v>
      </c>
      <c r="M53" s="3">
        <f>20+20</f>
        <v>40</v>
      </c>
      <c r="N53" s="3">
        <v>5</v>
      </c>
      <c r="O53" s="3" t="s">
        <v>22</v>
      </c>
      <c r="Q53" s="4">
        <f t="shared" si="1"/>
        <v>14560</v>
      </c>
      <c r="R53" s="3">
        <f t="shared" si="2"/>
        <v>1040</v>
      </c>
      <c r="S53" s="3">
        <f t="shared" si="4"/>
        <v>1</v>
      </c>
    </row>
    <row r="54" spans="1:19" ht="15" customHeight="1" x14ac:dyDescent="0.25">
      <c r="A54" s="1">
        <v>53</v>
      </c>
      <c r="B54" s="1" t="s">
        <v>110</v>
      </c>
      <c r="C54" s="3" t="s">
        <v>107</v>
      </c>
      <c r="D54" s="3" t="s">
        <v>108</v>
      </c>
      <c r="E54" s="3" t="s">
        <v>26</v>
      </c>
      <c r="F54" s="4">
        <v>3700</v>
      </c>
      <c r="G54" s="3">
        <v>20</v>
      </c>
      <c r="H54" s="3">
        <v>51</v>
      </c>
      <c r="I54" s="3">
        <v>14</v>
      </c>
      <c r="J54" s="3">
        <v>6</v>
      </c>
      <c r="K54" s="3">
        <v>1</v>
      </c>
      <c r="L54" s="3">
        <v>33</v>
      </c>
      <c r="M54" s="3">
        <f t="shared" ref="M54:M55" si="5">20+20</f>
        <v>40</v>
      </c>
      <c r="N54" s="3">
        <v>6</v>
      </c>
      <c r="O54" s="3" t="s">
        <v>22</v>
      </c>
      <c r="Q54" s="4">
        <f t="shared" si="1"/>
        <v>14280</v>
      </c>
      <c r="R54" s="3">
        <f t="shared" si="2"/>
        <v>1020</v>
      </c>
      <c r="S54" s="3">
        <f t="shared" si="4"/>
        <v>1</v>
      </c>
    </row>
    <row r="55" spans="1:19" ht="15" customHeight="1" x14ac:dyDescent="0.25">
      <c r="A55" s="1">
        <v>54</v>
      </c>
      <c r="B55" s="1" t="s">
        <v>111</v>
      </c>
      <c r="C55" s="3" t="s">
        <v>107</v>
      </c>
      <c r="D55" s="3" t="s">
        <v>108</v>
      </c>
      <c r="E55" s="3" t="s">
        <v>26</v>
      </c>
      <c r="F55" s="4">
        <v>2900</v>
      </c>
      <c r="G55" s="3">
        <v>20</v>
      </c>
      <c r="H55" s="3">
        <v>51</v>
      </c>
      <c r="I55" s="3">
        <v>14</v>
      </c>
      <c r="J55" s="3">
        <v>6</v>
      </c>
      <c r="K55" s="3">
        <v>1</v>
      </c>
      <c r="L55" s="3">
        <v>33</v>
      </c>
      <c r="M55" s="3">
        <f t="shared" si="5"/>
        <v>40</v>
      </c>
      <c r="N55" s="3">
        <v>6</v>
      </c>
      <c r="O55" s="3" t="s">
        <v>22</v>
      </c>
      <c r="Q55" s="4">
        <f t="shared" si="1"/>
        <v>14280</v>
      </c>
      <c r="R55" s="3">
        <f t="shared" si="2"/>
        <v>1020</v>
      </c>
      <c r="S55" s="3">
        <f t="shared" si="4"/>
        <v>1</v>
      </c>
    </row>
    <row r="56" spans="1:19" ht="15" customHeight="1" x14ac:dyDescent="0.25">
      <c r="A56" s="1">
        <v>55</v>
      </c>
      <c r="B56" s="1" t="s">
        <v>112</v>
      </c>
      <c r="C56" s="3" t="s">
        <v>34</v>
      </c>
      <c r="D56" s="3" t="s">
        <v>113</v>
      </c>
      <c r="E56" s="3" t="s">
        <v>26</v>
      </c>
      <c r="F56" s="4">
        <v>20000</v>
      </c>
      <c r="G56" s="3">
        <v>69</v>
      </c>
      <c r="H56" s="3">
        <v>67</v>
      </c>
      <c r="I56" s="3">
        <v>28.8</v>
      </c>
      <c r="J56" s="3">
        <v>9</v>
      </c>
      <c r="K56" s="3">
        <v>4</v>
      </c>
      <c r="L56" s="3">
        <v>39</v>
      </c>
      <c r="M56" s="3">
        <f>(473+60)+(385+60)</f>
        <v>978</v>
      </c>
      <c r="N56" s="3">
        <v>36</v>
      </c>
      <c r="O56" s="3" t="s">
        <v>22</v>
      </c>
      <c r="Q56" s="4">
        <f t="shared" si="1"/>
        <v>133142.39999999999</v>
      </c>
      <c r="R56" s="3">
        <f t="shared" si="2"/>
        <v>4623</v>
      </c>
      <c r="S56" s="3">
        <f t="shared" si="4"/>
        <v>4</v>
      </c>
    </row>
    <row r="57" spans="1:19" ht="15" customHeight="1" x14ac:dyDescent="0.25">
      <c r="A57" s="1">
        <v>56</v>
      </c>
      <c r="B57" s="1" t="s">
        <v>90</v>
      </c>
      <c r="C57" s="3" t="s">
        <v>34</v>
      </c>
      <c r="D57" s="3" t="s">
        <v>91</v>
      </c>
      <c r="E57" s="3" t="s">
        <v>21</v>
      </c>
      <c r="F57" s="4">
        <f>4500</f>
        <v>4500</v>
      </c>
      <c r="G57" s="3">
        <v>38</v>
      </c>
      <c r="H57" s="3">
        <v>26</v>
      </c>
      <c r="I57" s="3">
        <v>12</v>
      </c>
      <c r="J57" s="3">
        <v>7</v>
      </c>
      <c r="K57" s="3">
        <v>3</v>
      </c>
      <c r="L57" s="3">
        <v>24</v>
      </c>
      <c r="M57" s="3">
        <f>(80+3)+43</f>
        <v>126</v>
      </c>
      <c r="N57" s="3">
        <v>7</v>
      </c>
      <c r="O57" s="3" t="s">
        <v>22</v>
      </c>
      <c r="Q57" s="4">
        <f t="shared" si="1"/>
        <v>11856</v>
      </c>
      <c r="R57" s="3">
        <f t="shared" si="2"/>
        <v>988</v>
      </c>
      <c r="S57" s="3">
        <f t="shared" si="4"/>
        <v>1</v>
      </c>
    </row>
    <row r="58" spans="1:19" ht="15" customHeight="1" x14ac:dyDescent="0.25">
      <c r="A58" s="1">
        <v>57</v>
      </c>
      <c r="B58" s="1" t="s">
        <v>114</v>
      </c>
      <c r="C58" s="3" t="s">
        <v>31</v>
      </c>
      <c r="D58" s="3" t="s">
        <v>115</v>
      </c>
      <c r="E58" s="3" t="s">
        <v>26</v>
      </c>
      <c r="F58" s="4">
        <v>10175</v>
      </c>
      <c r="G58" s="3">
        <v>44</v>
      </c>
      <c r="H58" s="3">
        <v>80</v>
      </c>
      <c r="I58" s="3">
        <v>12</v>
      </c>
      <c r="J58" s="3">
        <v>6</v>
      </c>
      <c r="K58" s="3">
        <v>1</v>
      </c>
      <c r="L58" s="3">
        <v>60</v>
      </c>
      <c r="M58" s="3">
        <f>20+40</f>
        <v>60</v>
      </c>
      <c r="N58" s="3">
        <v>6</v>
      </c>
      <c r="O58" s="3" t="s">
        <v>22</v>
      </c>
      <c r="Q58" s="4">
        <f t="shared" si="1"/>
        <v>42240</v>
      </c>
      <c r="R58" s="3">
        <f t="shared" si="2"/>
        <v>3520</v>
      </c>
      <c r="S58" s="3">
        <f t="shared" si="4"/>
        <v>1</v>
      </c>
    </row>
    <row r="59" spans="1:19" ht="15" customHeight="1" x14ac:dyDescent="0.25">
      <c r="A59" s="1">
        <v>58</v>
      </c>
      <c r="B59" s="1" t="s">
        <v>116</v>
      </c>
      <c r="C59" s="3" t="s">
        <v>117</v>
      </c>
      <c r="D59" s="3" t="s">
        <v>118</v>
      </c>
      <c r="E59" s="3" t="s">
        <v>26</v>
      </c>
      <c r="F59" s="4">
        <v>1300</v>
      </c>
      <c r="G59" s="3">
        <v>46</v>
      </c>
      <c r="H59" s="3">
        <v>8</v>
      </c>
      <c r="I59" s="3">
        <v>14</v>
      </c>
      <c r="J59" s="3">
        <v>6</v>
      </c>
      <c r="K59" s="3">
        <v>1</v>
      </c>
      <c r="L59" s="3">
        <v>28</v>
      </c>
      <c r="M59" s="3">
        <f>115+115</f>
        <v>230</v>
      </c>
      <c r="N59" s="3">
        <v>6</v>
      </c>
      <c r="O59" s="3" t="s">
        <v>22</v>
      </c>
      <c r="Q59" s="4">
        <f t="shared" si="1"/>
        <v>5152</v>
      </c>
      <c r="R59" s="3">
        <f t="shared" si="2"/>
        <v>368</v>
      </c>
      <c r="S59" s="3">
        <f t="shared" si="4"/>
        <v>1</v>
      </c>
    </row>
    <row r="60" spans="1:19" ht="15" customHeight="1" x14ac:dyDescent="0.25">
      <c r="A60" s="1">
        <v>59</v>
      </c>
      <c r="B60" s="1" t="s">
        <v>119</v>
      </c>
      <c r="C60" s="3" t="s">
        <v>31</v>
      </c>
      <c r="D60" s="3" t="s">
        <v>120</v>
      </c>
      <c r="E60" s="3" t="s">
        <v>26</v>
      </c>
      <c r="F60" s="4">
        <v>3300</v>
      </c>
      <c r="G60" s="3">
        <v>35</v>
      </c>
      <c r="H60" s="3">
        <v>62</v>
      </c>
      <c r="I60" s="3">
        <v>30</v>
      </c>
      <c r="J60" s="3">
        <v>4</v>
      </c>
      <c r="K60" s="3">
        <v>1</v>
      </c>
      <c r="L60" s="3">
        <v>42</v>
      </c>
      <c r="M60" s="3">
        <f>13+13</f>
        <v>26</v>
      </c>
      <c r="N60" s="3">
        <v>4</v>
      </c>
      <c r="O60" s="3" t="s">
        <v>22</v>
      </c>
      <c r="Q60" s="4">
        <f t="shared" si="1"/>
        <v>65100</v>
      </c>
      <c r="R60" s="3">
        <f t="shared" si="2"/>
        <v>2170</v>
      </c>
      <c r="S60" s="3">
        <f t="shared" si="4"/>
        <v>1</v>
      </c>
    </row>
    <row r="61" spans="1:19" ht="15" customHeight="1" x14ac:dyDescent="0.25">
      <c r="A61" s="1">
        <v>60</v>
      </c>
      <c r="B61" s="1" t="s">
        <v>50</v>
      </c>
      <c r="C61" s="3" t="s">
        <v>34</v>
      </c>
      <c r="D61" s="3" t="s">
        <v>52</v>
      </c>
      <c r="E61" s="3" t="s">
        <v>26</v>
      </c>
      <c r="F61" s="4">
        <v>12000</v>
      </c>
      <c r="G61" s="3">
        <v>77</v>
      </c>
      <c r="H61" s="3">
        <v>51</v>
      </c>
      <c r="I61" s="3">
        <v>22</v>
      </c>
      <c r="J61" s="3">
        <v>8</v>
      </c>
      <c r="K61" s="3">
        <v>1</v>
      </c>
      <c r="L61" s="3">
        <v>48</v>
      </c>
      <c r="M61" s="3">
        <f>(66+66)+(33+100)</f>
        <v>265</v>
      </c>
      <c r="N61" s="3">
        <v>8</v>
      </c>
      <c r="O61" s="3" t="s">
        <v>22</v>
      </c>
      <c r="Q61" s="4">
        <f t="shared" si="1"/>
        <v>86394</v>
      </c>
      <c r="R61" s="3">
        <f t="shared" si="2"/>
        <v>3927</v>
      </c>
      <c r="S61" s="3">
        <f t="shared" si="4"/>
        <v>1</v>
      </c>
    </row>
    <row r="62" spans="1:19" ht="15" customHeight="1" x14ac:dyDescent="0.25">
      <c r="A62" s="1">
        <v>61</v>
      </c>
      <c r="B62" s="1" t="s">
        <v>121</v>
      </c>
      <c r="C62" s="3" t="s">
        <v>122</v>
      </c>
      <c r="D62" s="3" t="s">
        <v>123</v>
      </c>
      <c r="E62" s="3" t="s">
        <v>26</v>
      </c>
      <c r="F62" s="4">
        <v>48000</v>
      </c>
      <c r="G62" s="3">
        <v>79</v>
      </c>
      <c r="H62" s="3">
        <v>95</v>
      </c>
      <c r="I62" s="3">
        <v>20</v>
      </c>
      <c r="J62" s="3">
        <v>10</v>
      </c>
      <c r="K62" s="3">
        <v>3</v>
      </c>
      <c r="L62" s="3">
        <v>70</v>
      </c>
      <c r="M62" s="3">
        <f>170+240</f>
        <v>410</v>
      </c>
      <c r="N62" s="3">
        <v>30</v>
      </c>
      <c r="O62" s="3" t="s">
        <v>22</v>
      </c>
      <c r="Q62" s="4">
        <f t="shared" si="1"/>
        <v>150100</v>
      </c>
      <c r="R62" s="3">
        <f t="shared" si="2"/>
        <v>7505</v>
      </c>
      <c r="S62" s="3">
        <f t="shared" si="4"/>
        <v>3</v>
      </c>
    </row>
    <row r="63" spans="1:19" ht="15" customHeight="1" x14ac:dyDescent="0.25">
      <c r="A63" s="1">
        <v>62</v>
      </c>
      <c r="B63" s="1" t="s">
        <v>81</v>
      </c>
      <c r="C63" s="3" t="s">
        <v>124</v>
      </c>
      <c r="D63" s="3" t="s">
        <v>125</v>
      </c>
      <c r="E63" s="3" t="s">
        <v>26</v>
      </c>
      <c r="F63" s="4">
        <v>28300</v>
      </c>
      <c r="G63" s="3">
        <v>116</v>
      </c>
      <c r="H63" s="3">
        <v>42</v>
      </c>
      <c r="I63" s="3">
        <v>24</v>
      </c>
      <c r="J63" s="3">
        <v>10</v>
      </c>
      <c r="K63" s="3">
        <v>1</v>
      </c>
      <c r="L63" s="3">
        <v>75</v>
      </c>
      <c r="M63" s="3">
        <f>155+240</f>
        <v>395</v>
      </c>
      <c r="N63" s="3">
        <f>10+10</f>
        <v>20</v>
      </c>
      <c r="O63" s="3" t="s">
        <v>22</v>
      </c>
      <c r="Q63" s="4">
        <f t="shared" si="1"/>
        <v>116928</v>
      </c>
      <c r="R63" s="3">
        <f t="shared" si="2"/>
        <v>4872</v>
      </c>
      <c r="S63" s="3">
        <f t="shared" si="4"/>
        <v>1</v>
      </c>
    </row>
    <row r="64" spans="1:19" ht="15" customHeight="1" x14ac:dyDescent="0.25">
      <c r="A64" s="1">
        <v>63</v>
      </c>
      <c r="B64" s="1" t="s">
        <v>126</v>
      </c>
      <c r="C64" s="3" t="s">
        <v>127</v>
      </c>
      <c r="D64" s="3" t="s">
        <v>128</v>
      </c>
      <c r="E64" s="3" t="s">
        <v>21</v>
      </c>
      <c r="F64" s="4">
        <v>78000</v>
      </c>
      <c r="G64" s="3">
        <v>118</v>
      </c>
      <c r="H64" s="3">
        <v>76</v>
      </c>
      <c r="I64" s="3">
        <v>42</v>
      </c>
      <c r="J64" s="3">
        <v>17</v>
      </c>
      <c r="K64" s="3">
        <v>4</v>
      </c>
      <c r="L64" s="3">
        <v>69</v>
      </c>
      <c r="M64" s="4">
        <f>230+230</f>
        <v>460</v>
      </c>
      <c r="N64" s="3">
        <v>34</v>
      </c>
      <c r="O64" s="3" t="s">
        <v>22</v>
      </c>
      <c r="Q64" s="4">
        <f t="shared" si="1"/>
        <v>376656</v>
      </c>
      <c r="R64" s="3">
        <f t="shared" si="2"/>
        <v>8968</v>
      </c>
      <c r="S64" s="3">
        <f t="shared" si="4"/>
        <v>2</v>
      </c>
    </row>
    <row r="65" spans="1:19" ht="15" customHeight="1" x14ac:dyDescent="0.25">
      <c r="A65" s="1">
        <v>64</v>
      </c>
      <c r="B65" s="1" t="s">
        <v>119</v>
      </c>
      <c r="C65" s="3" t="s">
        <v>129</v>
      </c>
      <c r="D65" s="3" t="s">
        <v>125</v>
      </c>
      <c r="E65" s="3" t="s">
        <v>26</v>
      </c>
      <c r="F65" s="4">
        <v>28380</v>
      </c>
      <c r="G65" s="3">
        <v>120</v>
      </c>
      <c r="H65" s="3">
        <v>42</v>
      </c>
      <c r="I65" s="3">
        <v>24</v>
      </c>
      <c r="J65" s="3">
        <v>10</v>
      </c>
      <c r="K65" s="3">
        <v>1</v>
      </c>
      <c r="L65" s="3">
        <v>75</v>
      </c>
      <c r="M65" s="3">
        <f>155+240</f>
        <v>395</v>
      </c>
      <c r="N65" s="3">
        <v>10</v>
      </c>
      <c r="O65" s="3" t="s">
        <v>22</v>
      </c>
      <c r="Q65" s="4">
        <f t="shared" si="1"/>
        <v>120960</v>
      </c>
      <c r="R65" s="3">
        <f t="shared" si="2"/>
        <v>5040</v>
      </c>
      <c r="S65" s="3">
        <f t="shared" si="4"/>
        <v>1</v>
      </c>
    </row>
    <row r="66" spans="1:19" ht="15" customHeight="1" x14ac:dyDescent="0.25">
      <c r="A66" s="1">
        <v>65</v>
      </c>
      <c r="B66" s="1" t="s">
        <v>130</v>
      </c>
      <c r="C66" s="3" t="s">
        <v>60</v>
      </c>
      <c r="D66" s="3" t="s">
        <v>131</v>
      </c>
      <c r="E66" s="3" t="s">
        <v>21</v>
      </c>
      <c r="F66" s="4">
        <v>2540</v>
      </c>
      <c r="G66" s="3">
        <v>25</v>
      </c>
      <c r="H66" s="3">
        <v>29</v>
      </c>
      <c r="I66" s="3">
        <v>19.8</v>
      </c>
      <c r="J66" s="3">
        <v>6</v>
      </c>
      <c r="K66" s="3">
        <v>2</v>
      </c>
      <c r="L66" s="3">
        <v>16</v>
      </c>
      <c r="M66" s="3">
        <f>32+46</f>
        <v>78</v>
      </c>
      <c r="N66" s="3">
        <v>5</v>
      </c>
      <c r="O66" s="3" t="s">
        <v>22</v>
      </c>
      <c r="Q66" s="4">
        <f t="shared" si="1"/>
        <v>14355</v>
      </c>
      <c r="R66" s="3">
        <f t="shared" si="2"/>
        <v>725</v>
      </c>
      <c r="S66" s="3">
        <f t="shared" ref="S66:S97" si="6">_xlfn.CEILING.MATH(IF(E66="ESS",R66/(G66*(H66/K66)),N66/J66))</f>
        <v>1</v>
      </c>
    </row>
    <row r="67" spans="1:19" ht="15" customHeight="1" x14ac:dyDescent="0.25">
      <c r="A67" s="1">
        <v>66</v>
      </c>
      <c r="B67" s="1" t="s">
        <v>132</v>
      </c>
      <c r="C67" s="3" t="s">
        <v>60</v>
      </c>
      <c r="D67" s="3" t="s">
        <v>131</v>
      </c>
      <c r="E67" s="3" t="s">
        <v>21</v>
      </c>
      <c r="F67" s="4">
        <v>6120</v>
      </c>
      <c r="G67" s="3">
        <v>58</v>
      </c>
      <c r="H67" s="3">
        <v>29</v>
      </c>
      <c r="I67" s="3">
        <v>19.8</v>
      </c>
      <c r="J67" s="3">
        <v>6</v>
      </c>
      <c r="K67" s="3">
        <v>2</v>
      </c>
      <c r="L67" s="3">
        <v>38</v>
      </c>
      <c r="M67" s="3">
        <f>40+45</f>
        <v>85</v>
      </c>
      <c r="N67" s="3">
        <v>6</v>
      </c>
      <c r="O67" s="3" t="s">
        <v>22</v>
      </c>
      <c r="Q67" s="4">
        <f t="shared" ref="Q67:Q130" si="7">G67*H67*I67</f>
        <v>33303.599999999999</v>
      </c>
      <c r="R67" s="3">
        <f t="shared" ref="R67:R130" si="8">G67*H67</f>
        <v>1682</v>
      </c>
      <c r="S67" s="3">
        <f t="shared" si="6"/>
        <v>1</v>
      </c>
    </row>
    <row r="68" spans="1:19" ht="15" customHeight="1" x14ac:dyDescent="0.25">
      <c r="A68" s="1">
        <v>67</v>
      </c>
      <c r="B68" s="1" t="s">
        <v>133</v>
      </c>
      <c r="C68" s="3" t="s">
        <v>31</v>
      </c>
      <c r="D68" s="3" t="s">
        <v>115</v>
      </c>
      <c r="E68" s="3" t="s">
        <v>26</v>
      </c>
      <c r="F68" s="4">
        <v>10175</v>
      </c>
      <c r="G68" s="3">
        <v>45</v>
      </c>
      <c r="H68" s="3">
        <v>80</v>
      </c>
      <c r="I68" s="3">
        <v>12</v>
      </c>
      <c r="J68" s="3">
        <v>5</v>
      </c>
      <c r="K68" s="3">
        <v>1</v>
      </c>
      <c r="L68" s="3" t="s">
        <v>134</v>
      </c>
      <c r="M68" s="3">
        <f>20+45</f>
        <v>65</v>
      </c>
      <c r="N68" s="3">
        <v>5</v>
      </c>
      <c r="O68" s="3" t="s">
        <v>22</v>
      </c>
      <c r="Q68" s="4">
        <f t="shared" si="7"/>
        <v>43200</v>
      </c>
      <c r="R68" s="3">
        <f t="shared" si="8"/>
        <v>3600</v>
      </c>
      <c r="S68" s="3">
        <f t="shared" si="6"/>
        <v>1</v>
      </c>
    </row>
    <row r="69" spans="1:19" ht="15" customHeight="1" x14ac:dyDescent="0.25">
      <c r="A69" s="1">
        <v>68</v>
      </c>
      <c r="B69" s="1" t="s">
        <v>135</v>
      </c>
      <c r="C69" s="3" t="s">
        <v>74</v>
      </c>
      <c r="D69" s="3" t="s">
        <v>61</v>
      </c>
      <c r="E69" s="3" t="s">
        <v>26</v>
      </c>
      <c r="F69" s="4">
        <v>18500</v>
      </c>
      <c r="G69" s="3">
        <v>60</v>
      </c>
      <c r="H69" s="3">
        <v>130</v>
      </c>
      <c r="I69" s="3">
        <v>5.2</v>
      </c>
      <c r="J69" s="3">
        <v>2</v>
      </c>
      <c r="K69" s="3">
        <v>9</v>
      </c>
      <c r="L69" s="3">
        <v>85</v>
      </c>
      <c r="M69" s="3">
        <f>250+250</f>
        <v>500</v>
      </c>
      <c r="N69" s="3">
        <v>18</v>
      </c>
      <c r="O69" s="3" t="s">
        <v>22</v>
      </c>
      <c r="Q69" s="4">
        <f t="shared" si="7"/>
        <v>40560</v>
      </c>
      <c r="R69" s="3">
        <f t="shared" si="8"/>
        <v>7800</v>
      </c>
      <c r="S69" s="3">
        <f t="shared" si="6"/>
        <v>9</v>
      </c>
    </row>
    <row r="70" spans="1:19" ht="15" customHeight="1" x14ac:dyDescent="0.25">
      <c r="A70" s="1">
        <v>69</v>
      </c>
      <c r="B70" s="1" t="s">
        <v>136</v>
      </c>
      <c r="C70" s="3" t="s">
        <v>74</v>
      </c>
      <c r="D70" s="3" t="s">
        <v>68</v>
      </c>
      <c r="E70" s="3" t="s">
        <v>26</v>
      </c>
      <c r="F70" s="4">
        <v>77000</v>
      </c>
      <c r="G70" s="3">
        <v>170</v>
      </c>
      <c r="H70" s="3">
        <v>80</v>
      </c>
      <c r="I70" s="3">
        <v>20</v>
      </c>
      <c r="J70" s="3">
        <v>8</v>
      </c>
      <c r="K70" s="3">
        <v>3</v>
      </c>
      <c r="L70" s="3">
        <v>120</v>
      </c>
      <c r="M70" s="3">
        <f>242+219</f>
        <v>461</v>
      </c>
      <c r="N70" s="3">
        <v>24</v>
      </c>
      <c r="O70" s="3" t="s">
        <v>22</v>
      </c>
      <c r="Q70" s="4">
        <f t="shared" si="7"/>
        <v>272000</v>
      </c>
      <c r="R70" s="3">
        <f t="shared" si="8"/>
        <v>13600</v>
      </c>
      <c r="S70" s="3">
        <f t="shared" si="6"/>
        <v>3</v>
      </c>
    </row>
    <row r="71" spans="1:19" ht="15" customHeight="1" x14ac:dyDescent="0.25">
      <c r="A71" s="1">
        <v>70</v>
      </c>
      <c r="B71" s="1" t="s">
        <v>137</v>
      </c>
      <c r="C71" s="3" t="s">
        <v>138</v>
      </c>
      <c r="D71" s="3" t="s">
        <v>139</v>
      </c>
      <c r="E71" s="3" t="s">
        <v>21</v>
      </c>
      <c r="F71" s="4">
        <v>21000</v>
      </c>
      <c r="G71" s="3">
        <v>50</v>
      </c>
      <c r="H71" s="3">
        <v>90</v>
      </c>
      <c r="I71" s="3">
        <v>33</v>
      </c>
      <c r="J71" s="3">
        <v>10</v>
      </c>
      <c r="K71" s="3">
        <v>3</v>
      </c>
      <c r="L71" s="3">
        <v>52</v>
      </c>
      <c r="M71" s="3">
        <f>30+42</f>
        <v>72</v>
      </c>
      <c r="N71" s="3">
        <v>8</v>
      </c>
      <c r="O71" s="3" t="s">
        <v>22</v>
      </c>
      <c r="Q71" s="4">
        <f t="shared" si="7"/>
        <v>148500</v>
      </c>
      <c r="R71" s="3">
        <f t="shared" si="8"/>
        <v>4500</v>
      </c>
      <c r="S71" s="3">
        <f t="shared" si="6"/>
        <v>1</v>
      </c>
    </row>
    <row r="72" spans="1:19" ht="15" customHeight="1" x14ac:dyDescent="0.25">
      <c r="A72" s="1">
        <v>71</v>
      </c>
      <c r="B72" s="1" t="s">
        <v>140</v>
      </c>
      <c r="C72" s="3" t="s">
        <v>54</v>
      </c>
      <c r="D72" s="3" t="s">
        <v>141</v>
      </c>
      <c r="E72" s="3" t="s">
        <v>21</v>
      </c>
      <c r="F72" s="4">
        <v>2500</v>
      </c>
      <c r="G72" s="3">
        <v>70</v>
      </c>
      <c r="H72" s="3">
        <v>15</v>
      </c>
      <c r="I72" s="3">
        <v>12</v>
      </c>
      <c r="J72" s="3">
        <v>5</v>
      </c>
      <c r="K72" s="3">
        <v>1</v>
      </c>
      <c r="L72" s="3">
        <v>42</v>
      </c>
      <c r="M72" s="3">
        <f>(18+18)+(18+18)</f>
        <v>72</v>
      </c>
      <c r="N72" s="3">
        <v>5</v>
      </c>
      <c r="O72" s="3" t="s">
        <v>22</v>
      </c>
      <c r="Q72" s="4">
        <f t="shared" si="7"/>
        <v>12600</v>
      </c>
      <c r="R72" s="3">
        <f t="shared" si="8"/>
        <v>1050</v>
      </c>
      <c r="S72" s="3">
        <f t="shared" si="6"/>
        <v>1</v>
      </c>
    </row>
    <row r="73" spans="1:19" ht="15" customHeight="1" x14ac:dyDescent="0.25">
      <c r="A73" s="1">
        <v>72</v>
      </c>
      <c r="B73" s="1" t="s">
        <v>140</v>
      </c>
      <c r="C73" s="3" t="s">
        <v>54</v>
      </c>
      <c r="D73" s="3" t="s">
        <v>141</v>
      </c>
      <c r="E73" s="3" t="s">
        <v>21</v>
      </c>
      <c r="F73" s="4">
        <v>2500</v>
      </c>
      <c r="G73" s="3">
        <v>72</v>
      </c>
      <c r="H73" s="3">
        <v>15</v>
      </c>
      <c r="I73" s="3">
        <v>12</v>
      </c>
      <c r="J73" s="3">
        <v>5</v>
      </c>
      <c r="K73" s="3">
        <v>2</v>
      </c>
      <c r="L73" s="3">
        <v>42</v>
      </c>
      <c r="M73" s="3">
        <f>(30+30)+(30+30)</f>
        <v>120</v>
      </c>
      <c r="N73" s="3">
        <v>6</v>
      </c>
      <c r="O73" s="3" t="s">
        <v>22</v>
      </c>
      <c r="Q73" s="4">
        <f t="shared" si="7"/>
        <v>12960</v>
      </c>
      <c r="R73" s="3">
        <f t="shared" si="8"/>
        <v>1080</v>
      </c>
      <c r="S73" s="3">
        <f t="shared" si="6"/>
        <v>2</v>
      </c>
    </row>
    <row r="74" spans="1:19" ht="15" customHeight="1" x14ac:dyDescent="0.25">
      <c r="A74" s="1">
        <v>73</v>
      </c>
      <c r="B74" s="1" t="s">
        <v>140</v>
      </c>
      <c r="C74" s="3" t="s">
        <v>54</v>
      </c>
      <c r="D74" s="3" t="s">
        <v>141</v>
      </c>
      <c r="E74" s="3" t="s">
        <v>26</v>
      </c>
      <c r="F74" s="4">
        <v>2500</v>
      </c>
      <c r="G74" s="3">
        <v>70</v>
      </c>
      <c r="H74" s="3">
        <v>15</v>
      </c>
      <c r="I74" s="3">
        <v>12</v>
      </c>
      <c r="J74" s="3">
        <v>5</v>
      </c>
      <c r="K74" s="3">
        <v>1</v>
      </c>
      <c r="L74" s="3">
        <v>42</v>
      </c>
      <c r="M74" s="3">
        <f>(18+18)+(18+18)</f>
        <v>72</v>
      </c>
      <c r="N74" s="3">
        <v>5</v>
      </c>
      <c r="O74" s="3" t="s">
        <v>22</v>
      </c>
      <c r="Q74" s="4">
        <f t="shared" si="7"/>
        <v>12600</v>
      </c>
      <c r="R74" s="3">
        <f t="shared" si="8"/>
        <v>1050</v>
      </c>
      <c r="S74" s="3">
        <f t="shared" si="6"/>
        <v>1</v>
      </c>
    </row>
    <row r="75" spans="1:19" ht="15" customHeight="1" x14ac:dyDescent="0.25">
      <c r="A75" s="1">
        <v>74</v>
      </c>
      <c r="B75" s="1" t="s">
        <v>140</v>
      </c>
      <c r="C75" s="3" t="s">
        <v>54</v>
      </c>
      <c r="D75" s="3" t="s">
        <v>141</v>
      </c>
      <c r="E75" s="3" t="s">
        <v>26</v>
      </c>
      <c r="F75" s="4">
        <v>2500</v>
      </c>
      <c r="G75" s="3">
        <v>70</v>
      </c>
      <c r="H75" s="3">
        <v>14</v>
      </c>
      <c r="I75" s="3">
        <v>12</v>
      </c>
      <c r="J75" s="3">
        <v>5</v>
      </c>
      <c r="K75" s="3">
        <v>1</v>
      </c>
      <c r="L75" s="3">
        <v>42</v>
      </c>
      <c r="M75" s="3">
        <f>(30+30)+(30+30)</f>
        <v>120</v>
      </c>
      <c r="N75" s="3">
        <v>5</v>
      </c>
      <c r="O75" s="3" t="s">
        <v>22</v>
      </c>
      <c r="Q75" s="4">
        <f t="shared" si="7"/>
        <v>11760</v>
      </c>
      <c r="R75" s="3">
        <f t="shared" si="8"/>
        <v>980</v>
      </c>
      <c r="S75" s="3">
        <f t="shared" si="6"/>
        <v>1</v>
      </c>
    </row>
    <row r="76" spans="1:19" ht="15" customHeight="1" x14ac:dyDescent="0.25">
      <c r="A76" s="1">
        <v>75</v>
      </c>
      <c r="B76" s="1" t="s">
        <v>142</v>
      </c>
      <c r="C76" s="3" t="s">
        <v>143</v>
      </c>
      <c r="D76" s="3" t="s">
        <v>104</v>
      </c>
      <c r="E76" s="3" t="s">
        <v>21</v>
      </c>
      <c r="F76" s="4">
        <v>2216</v>
      </c>
      <c r="G76" s="3">
        <v>34</v>
      </c>
      <c r="H76" s="3">
        <v>30</v>
      </c>
      <c r="I76" s="3">
        <v>14</v>
      </c>
      <c r="J76" s="3">
        <v>5</v>
      </c>
      <c r="K76" s="3">
        <v>3</v>
      </c>
      <c r="L76" s="3">
        <v>19</v>
      </c>
      <c r="M76" s="3">
        <f>33+66</f>
        <v>99</v>
      </c>
      <c r="N76" s="3">
        <v>6</v>
      </c>
      <c r="O76" s="3" t="s">
        <v>39</v>
      </c>
      <c r="P76" s="3" t="s">
        <v>105</v>
      </c>
      <c r="Q76" s="4">
        <f t="shared" si="7"/>
        <v>14280</v>
      </c>
      <c r="R76" s="3">
        <f t="shared" si="8"/>
        <v>1020</v>
      </c>
      <c r="S76" s="3">
        <f t="shared" si="6"/>
        <v>2</v>
      </c>
    </row>
    <row r="77" spans="1:19" ht="15" customHeight="1" x14ac:dyDescent="0.25">
      <c r="A77" s="1">
        <v>76</v>
      </c>
      <c r="B77" s="1" t="s">
        <v>144</v>
      </c>
      <c r="C77" s="3" t="s">
        <v>74</v>
      </c>
      <c r="D77" s="3" t="s">
        <v>145</v>
      </c>
      <c r="E77" s="3" t="s">
        <v>26</v>
      </c>
      <c r="F77" s="4">
        <v>2040</v>
      </c>
      <c r="G77" s="3">
        <v>102</v>
      </c>
      <c r="H77" s="3">
        <v>16</v>
      </c>
      <c r="I77" s="3">
        <v>13</v>
      </c>
      <c r="J77" s="3">
        <v>3</v>
      </c>
      <c r="K77" s="3">
        <v>2</v>
      </c>
      <c r="L77" s="3">
        <v>60</v>
      </c>
      <c r="M77" s="3">
        <v>360</v>
      </c>
      <c r="N77" s="3">
        <v>12</v>
      </c>
      <c r="O77" s="3" t="s">
        <v>22</v>
      </c>
      <c r="Q77" s="4">
        <f t="shared" si="7"/>
        <v>21216</v>
      </c>
      <c r="R77" s="3">
        <f t="shared" si="8"/>
        <v>1632</v>
      </c>
      <c r="S77" s="3">
        <f t="shared" si="6"/>
        <v>2</v>
      </c>
    </row>
    <row r="78" spans="1:19" ht="15" customHeight="1" x14ac:dyDescent="0.25">
      <c r="A78" s="1">
        <v>77</v>
      </c>
      <c r="B78" s="1" t="s">
        <v>146</v>
      </c>
      <c r="C78" s="3" t="s">
        <v>31</v>
      </c>
      <c r="D78" s="3" t="s">
        <v>147</v>
      </c>
      <c r="E78" s="3" t="s">
        <v>26</v>
      </c>
      <c r="F78" s="4">
        <v>15000</v>
      </c>
      <c r="G78" s="3">
        <v>103</v>
      </c>
      <c r="H78" s="3">
        <v>74</v>
      </c>
      <c r="I78" s="3">
        <v>10.3</v>
      </c>
      <c r="J78" s="3">
        <v>5</v>
      </c>
      <c r="K78" s="3">
        <v>1</v>
      </c>
      <c r="L78" s="3">
        <v>63</v>
      </c>
      <c r="M78" s="3">
        <f>80+80</f>
        <v>160</v>
      </c>
      <c r="N78" s="3">
        <v>5</v>
      </c>
      <c r="O78" s="3" t="s">
        <v>22</v>
      </c>
      <c r="Q78" s="4">
        <f t="shared" si="7"/>
        <v>78506.600000000006</v>
      </c>
      <c r="R78" s="3">
        <f t="shared" si="8"/>
        <v>7622</v>
      </c>
      <c r="S78" s="3">
        <f t="shared" si="6"/>
        <v>1</v>
      </c>
    </row>
    <row r="79" spans="1:19" ht="15" customHeight="1" x14ac:dyDescent="0.25">
      <c r="A79" s="1">
        <v>78</v>
      </c>
      <c r="B79" s="1" t="s">
        <v>148</v>
      </c>
      <c r="C79" s="3" t="s">
        <v>149</v>
      </c>
      <c r="D79" s="3" t="s">
        <v>150</v>
      </c>
      <c r="E79" s="3" t="s">
        <v>151</v>
      </c>
      <c r="F79" s="4">
        <v>39000</v>
      </c>
      <c r="G79" s="3">
        <v>79</v>
      </c>
      <c r="H79" s="3">
        <v>104</v>
      </c>
      <c r="I79" s="3">
        <v>23.2</v>
      </c>
      <c r="J79" s="3">
        <v>10</v>
      </c>
      <c r="K79" s="3">
        <v>2</v>
      </c>
      <c r="L79" s="3">
        <v>64</v>
      </c>
      <c r="M79" s="3">
        <f>350+350</f>
        <v>700</v>
      </c>
      <c r="N79" s="3">
        <v>20</v>
      </c>
      <c r="O79" s="3" t="s">
        <v>22</v>
      </c>
      <c r="P79" s="3" t="s">
        <v>152</v>
      </c>
      <c r="Q79" s="4">
        <f t="shared" si="7"/>
        <v>190611.19999999998</v>
      </c>
      <c r="R79" s="3">
        <f t="shared" si="8"/>
        <v>8216</v>
      </c>
      <c r="S79" s="3">
        <f t="shared" si="6"/>
        <v>2</v>
      </c>
    </row>
    <row r="80" spans="1:19" ht="15" customHeight="1" x14ac:dyDescent="0.25">
      <c r="A80" s="1">
        <v>79</v>
      </c>
      <c r="B80" s="1" t="s">
        <v>148</v>
      </c>
      <c r="C80" s="3" t="s">
        <v>149</v>
      </c>
      <c r="D80" s="3" t="s">
        <v>150</v>
      </c>
      <c r="E80" s="3" t="s">
        <v>21</v>
      </c>
      <c r="F80" s="4">
        <v>38000</v>
      </c>
      <c r="G80" s="3">
        <v>78</v>
      </c>
      <c r="H80" s="3">
        <v>103</v>
      </c>
      <c r="I80" s="3">
        <v>23.2</v>
      </c>
      <c r="J80" s="3">
        <v>10</v>
      </c>
      <c r="K80" s="3">
        <v>3</v>
      </c>
      <c r="L80" s="3">
        <v>62</v>
      </c>
      <c r="M80" s="3">
        <f>350+350</f>
        <v>700</v>
      </c>
      <c r="N80" s="3">
        <v>44</v>
      </c>
      <c r="O80" s="3" t="s">
        <v>22</v>
      </c>
      <c r="P80" s="3" t="s">
        <v>152</v>
      </c>
      <c r="Q80" s="4">
        <f t="shared" si="7"/>
        <v>186388.8</v>
      </c>
      <c r="R80" s="3">
        <f t="shared" si="8"/>
        <v>8034</v>
      </c>
      <c r="S80" s="3">
        <f t="shared" si="6"/>
        <v>5</v>
      </c>
    </row>
    <row r="81" spans="1:19" ht="15" customHeight="1" x14ac:dyDescent="0.25">
      <c r="A81" s="1">
        <v>80</v>
      </c>
      <c r="B81" s="1" t="s">
        <v>153</v>
      </c>
      <c r="C81" s="3" t="s">
        <v>154</v>
      </c>
      <c r="D81" s="3" t="s">
        <v>155</v>
      </c>
      <c r="E81" s="3" t="s">
        <v>21</v>
      </c>
      <c r="F81" s="4">
        <v>3500</v>
      </c>
      <c r="G81" s="3">
        <v>47</v>
      </c>
      <c r="H81" s="3">
        <v>31</v>
      </c>
      <c r="I81" s="3">
        <v>11</v>
      </c>
      <c r="J81" s="3">
        <v>7</v>
      </c>
      <c r="K81" s="3">
        <v>2</v>
      </c>
      <c r="L81" s="3">
        <v>24</v>
      </c>
      <c r="M81" s="3">
        <f>26+26</f>
        <v>52</v>
      </c>
      <c r="N81" s="3">
        <v>3</v>
      </c>
      <c r="O81" s="3" t="s">
        <v>22</v>
      </c>
      <c r="Q81" s="4">
        <f t="shared" si="7"/>
        <v>16027</v>
      </c>
      <c r="R81" s="3">
        <f t="shared" si="8"/>
        <v>1457</v>
      </c>
      <c r="S81" s="3">
        <f t="shared" si="6"/>
        <v>1</v>
      </c>
    </row>
    <row r="82" spans="1:19" ht="15" customHeight="1" x14ac:dyDescent="0.25">
      <c r="A82" s="1">
        <v>81</v>
      </c>
      <c r="B82" s="1" t="s">
        <v>153</v>
      </c>
      <c r="C82" s="3" t="s">
        <v>154</v>
      </c>
      <c r="D82" s="3" t="s">
        <v>155</v>
      </c>
      <c r="E82" s="3" t="s">
        <v>21</v>
      </c>
      <c r="F82" s="4">
        <v>3500</v>
      </c>
      <c r="G82" s="3">
        <v>47</v>
      </c>
      <c r="H82" s="3">
        <v>31</v>
      </c>
      <c r="I82" s="3">
        <v>11</v>
      </c>
      <c r="J82" s="3">
        <v>7</v>
      </c>
      <c r="K82" s="3">
        <v>2</v>
      </c>
      <c r="L82" s="3">
        <v>24</v>
      </c>
      <c r="M82" s="3">
        <f>4+6</f>
        <v>10</v>
      </c>
      <c r="N82" s="3">
        <v>1</v>
      </c>
      <c r="O82" s="3" t="s">
        <v>22</v>
      </c>
      <c r="P82" s="3" t="s">
        <v>156</v>
      </c>
      <c r="Q82" s="4">
        <f t="shared" si="7"/>
        <v>16027</v>
      </c>
      <c r="R82" s="3">
        <f t="shared" si="8"/>
        <v>1457</v>
      </c>
      <c r="S82" s="3">
        <f t="shared" si="6"/>
        <v>1</v>
      </c>
    </row>
    <row r="83" spans="1:19" ht="15" customHeight="1" x14ac:dyDescent="0.25">
      <c r="A83" s="1">
        <v>82</v>
      </c>
      <c r="B83" s="1" t="s">
        <v>153</v>
      </c>
      <c r="C83" s="3" t="s">
        <v>154</v>
      </c>
      <c r="D83" s="3" t="s">
        <v>155</v>
      </c>
      <c r="E83" s="3" t="s">
        <v>21</v>
      </c>
      <c r="F83" s="4">
        <v>3500</v>
      </c>
      <c r="G83" s="3">
        <v>47</v>
      </c>
      <c r="H83" s="3">
        <v>31</v>
      </c>
      <c r="I83" s="3">
        <v>11</v>
      </c>
      <c r="J83" s="3">
        <v>7</v>
      </c>
      <c r="K83" s="3">
        <v>2</v>
      </c>
      <c r="L83" s="3">
        <v>24</v>
      </c>
      <c r="M83" s="3">
        <f>4+4</f>
        <v>8</v>
      </c>
      <c r="N83" s="3">
        <v>1</v>
      </c>
      <c r="O83" s="3" t="s">
        <v>22</v>
      </c>
      <c r="Q83" s="4">
        <f t="shared" si="7"/>
        <v>16027</v>
      </c>
      <c r="R83" s="3">
        <f t="shared" si="8"/>
        <v>1457</v>
      </c>
      <c r="S83" s="3">
        <f t="shared" si="6"/>
        <v>1</v>
      </c>
    </row>
    <row r="84" spans="1:19" ht="15" customHeight="1" x14ac:dyDescent="0.25">
      <c r="A84" s="1">
        <v>83</v>
      </c>
      <c r="B84" s="1" t="s">
        <v>153</v>
      </c>
      <c r="C84" s="3" t="s">
        <v>154</v>
      </c>
      <c r="D84" s="3" t="s">
        <v>155</v>
      </c>
      <c r="E84" s="3" t="s">
        <v>21</v>
      </c>
      <c r="F84" s="4">
        <v>3500</v>
      </c>
      <c r="G84" s="3">
        <v>47</v>
      </c>
      <c r="H84" s="3">
        <v>31</v>
      </c>
      <c r="I84" s="3">
        <v>11</v>
      </c>
      <c r="J84" s="3">
        <v>7</v>
      </c>
      <c r="K84" s="3">
        <v>2</v>
      </c>
      <c r="L84" s="3">
        <v>24</v>
      </c>
      <c r="M84" s="3">
        <f>4+4</f>
        <v>8</v>
      </c>
      <c r="N84" s="3">
        <v>1</v>
      </c>
      <c r="O84" s="3" t="s">
        <v>22</v>
      </c>
      <c r="P84" s="3" t="s">
        <v>156</v>
      </c>
      <c r="Q84" s="4">
        <f t="shared" si="7"/>
        <v>16027</v>
      </c>
      <c r="R84" s="3">
        <f t="shared" si="8"/>
        <v>1457</v>
      </c>
      <c r="S84" s="3">
        <f t="shared" si="6"/>
        <v>1</v>
      </c>
    </row>
    <row r="85" spans="1:19" ht="15" customHeight="1" x14ac:dyDescent="0.25">
      <c r="A85" s="1">
        <v>84</v>
      </c>
      <c r="B85" s="1" t="s">
        <v>153</v>
      </c>
      <c r="C85" s="3" t="s">
        <v>154</v>
      </c>
      <c r="D85" s="3" t="s">
        <v>155</v>
      </c>
      <c r="E85" s="3" t="s">
        <v>21</v>
      </c>
      <c r="F85" s="4">
        <v>3500</v>
      </c>
      <c r="G85" s="3">
        <v>47</v>
      </c>
      <c r="H85" s="3">
        <v>31</v>
      </c>
      <c r="I85" s="3">
        <v>11</v>
      </c>
      <c r="J85" s="3">
        <v>7</v>
      </c>
      <c r="K85" s="3">
        <v>2</v>
      </c>
      <c r="L85" s="3">
        <v>24</v>
      </c>
      <c r="M85" s="3">
        <f>6+6</f>
        <v>12</v>
      </c>
      <c r="N85" s="3">
        <v>1</v>
      </c>
      <c r="O85" s="3" t="s">
        <v>22</v>
      </c>
      <c r="Q85" s="4">
        <f t="shared" si="7"/>
        <v>16027</v>
      </c>
      <c r="R85" s="3">
        <f t="shared" si="8"/>
        <v>1457</v>
      </c>
      <c r="S85" s="3">
        <f t="shared" si="6"/>
        <v>1</v>
      </c>
    </row>
    <row r="86" spans="1:19" ht="15" customHeight="1" x14ac:dyDescent="0.25">
      <c r="A86" s="1">
        <v>85</v>
      </c>
      <c r="B86" s="1" t="s">
        <v>157</v>
      </c>
      <c r="C86" s="3" t="s">
        <v>85</v>
      </c>
      <c r="D86" s="3" t="s">
        <v>158</v>
      </c>
      <c r="E86" s="3" t="s">
        <v>21</v>
      </c>
      <c r="F86" s="4">
        <v>3120</v>
      </c>
      <c r="G86" s="3">
        <v>35</v>
      </c>
      <c r="H86" s="3">
        <v>30</v>
      </c>
      <c r="I86" s="3">
        <v>14</v>
      </c>
      <c r="J86" s="3">
        <v>7</v>
      </c>
      <c r="K86" s="3">
        <v>2</v>
      </c>
      <c r="L86" s="3">
        <v>21</v>
      </c>
      <c r="M86" s="3">
        <f>40+40</f>
        <v>80</v>
      </c>
      <c r="N86" s="3">
        <v>5</v>
      </c>
      <c r="O86" s="3" t="s">
        <v>22</v>
      </c>
      <c r="Q86" s="4">
        <f t="shared" si="7"/>
        <v>14700</v>
      </c>
      <c r="R86" s="3">
        <f t="shared" si="8"/>
        <v>1050</v>
      </c>
      <c r="S86" s="3">
        <f t="shared" si="6"/>
        <v>1</v>
      </c>
    </row>
    <row r="87" spans="1:19" ht="15" customHeight="1" x14ac:dyDescent="0.25">
      <c r="A87" s="1">
        <v>86</v>
      </c>
      <c r="B87" s="1" t="s">
        <v>159</v>
      </c>
      <c r="C87" s="3" t="s">
        <v>34</v>
      </c>
      <c r="D87" s="3" t="s">
        <v>52</v>
      </c>
      <c r="E87" s="3" t="s">
        <v>26</v>
      </c>
      <c r="F87" s="4">
        <v>12000</v>
      </c>
      <c r="G87" s="3">
        <v>77</v>
      </c>
      <c r="H87" s="3">
        <v>51</v>
      </c>
      <c r="I87" s="3">
        <v>22</v>
      </c>
      <c r="J87" s="3">
        <v>8</v>
      </c>
      <c r="K87" s="3">
        <v>1</v>
      </c>
      <c r="L87" s="3">
        <v>48</v>
      </c>
      <c r="M87" s="3">
        <f>(33+51+15)+(100+51+15)</f>
        <v>265</v>
      </c>
      <c r="N87" s="3">
        <f>4+2+4</f>
        <v>10</v>
      </c>
      <c r="O87" s="3" t="s">
        <v>22</v>
      </c>
      <c r="Q87" s="4">
        <f t="shared" si="7"/>
        <v>86394</v>
      </c>
      <c r="R87" s="3">
        <f t="shared" si="8"/>
        <v>3927</v>
      </c>
      <c r="S87" s="3">
        <f t="shared" si="6"/>
        <v>1</v>
      </c>
    </row>
    <row r="88" spans="1:19" ht="15" customHeight="1" x14ac:dyDescent="0.25">
      <c r="A88" s="1">
        <v>87</v>
      </c>
      <c r="B88" s="1" t="s">
        <v>160</v>
      </c>
      <c r="C88" s="3" t="s">
        <v>34</v>
      </c>
      <c r="D88" s="3" t="s">
        <v>161</v>
      </c>
      <c r="E88" s="3" t="s">
        <v>21</v>
      </c>
      <c r="F88" s="4">
        <f>2760*4</f>
        <v>11040</v>
      </c>
      <c r="G88" s="3">
        <v>110</v>
      </c>
      <c r="H88" s="3">
        <v>60</v>
      </c>
      <c r="I88" s="3">
        <v>7</v>
      </c>
      <c r="J88" s="3">
        <v>4</v>
      </c>
      <c r="K88" s="3">
        <v>5</v>
      </c>
      <c r="L88" s="3">
        <v>69</v>
      </c>
      <c r="M88" s="3">
        <f>50+50</f>
        <v>100</v>
      </c>
      <c r="N88" s="3">
        <v>12</v>
      </c>
      <c r="O88" s="3" t="s">
        <v>22</v>
      </c>
      <c r="P88" s="3" t="s">
        <v>162</v>
      </c>
      <c r="Q88" s="4">
        <f t="shared" si="7"/>
        <v>46200</v>
      </c>
      <c r="R88" s="3">
        <f t="shared" si="8"/>
        <v>6600</v>
      </c>
      <c r="S88" s="3">
        <f t="shared" si="6"/>
        <v>3</v>
      </c>
    </row>
    <row r="89" spans="1:19" ht="15" customHeight="1" x14ac:dyDescent="0.25">
      <c r="A89" s="1">
        <v>88</v>
      </c>
      <c r="B89" s="1" t="s">
        <v>163</v>
      </c>
      <c r="C89" s="3" t="s">
        <v>149</v>
      </c>
      <c r="D89" s="3" t="s">
        <v>150</v>
      </c>
      <c r="E89" s="3" t="s">
        <v>26</v>
      </c>
      <c r="F89" s="4">
        <v>42000</v>
      </c>
      <c r="G89" s="3">
        <v>55</v>
      </c>
      <c r="H89" s="3">
        <v>88</v>
      </c>
      <c r="I89" s="3">
        <v>42</v>
      </c>
      <c r="J89" s="3">
        <v>18</v>
      </c>
      <c r="K89" s="3">
        <v>1</v>
      </c>
      <c r="L89" s="3">
        <v>56</v>
      </c>
      <c r="M89" s="3">
        <f>350+350</f>
        <v>700</v>
      </c>
      <c r="N89" s="3">
        <v>18</v>
      </c>
      <c r="O89" s="3" t="s">
        <v>22</v>
      </c>
      <c r="P89" s="3" t="s">
        <v>152</v>
      </c>
      <c r="Q89" s="4">
        <f t="shared" si="7"/>
        <v>203280</v>
      </c>
      <c r="R89" s="3">
        <f t="shared" si="8"/>
        <v>4840</v>
      </c>
      <c r="S89" s="3">
        <f t="shared" si="6"/>
        <v>1</v>
      </c>
    </row>
    <row r="90" spans="1:19" ht="15" customHeight="1" x14ac:dyDescent="0.25">
      <c r="A90" s="1">
        <v>89</v>
      </c>
      <c r="B90" s="1" t="s">
        <v>163</v>
      </c>
      <c r="C90" s="3" t="s">
        <v>149</v>
      </c>
      <c r="D90" s="3" t="s">
        <v>150</v>
      </c>
      <c r="E90" s="3" t="s">
        <v>21</v>
      </c>
      <c r="F90" s="4">
        <v>43000</v>
      </c>
      <c r="G90" s="3">
        <v>55</v>
      </c>
      <c r="H90" s="3">
        <v>92</v>
      </c>
      <c r="I90" s="3">
        <v>42</v>
      </c>
      <c r="J90" s="3">
        <v>18</v>
      </c>
      <c r="K90" s="3">
        <v>3</v>
      </c>
      <c r="L90" s="3">
        <v>57</v>
      </c>
      <c r="M90" s="3">
        <f>350+350</f>
        <v>700</v>
      </c>
      <c r="N90" s="3">
        <v>40</v>
      </c>
      <c r="O90" s="3" t="s">
        <v>22</v>
      </c>
      <c r="P90" s="3" t="s">
        <v>152</v>
      </c>
      <c r="Q90" s="4">
        <f t="shared" si="7"/>
        <v>212520</v>
      </c>
      <c r="R90" s="3">
        <f t="shared" si="8"/>
        <v>5060</v>
      </c>
      <c r="S90" s="3">
        <f t="shared" si="6"/>
        <v>3</v>
      </c>
    </row>
    <row r="91" spans="1:19" ht="15" customHeight="1" x14ac:dyDescent="0.25">
      <c r="A91" s="1">
        <v>90</v>
      </c>
      <c r="B91" s="1" t="s">
        <v>164</v>
      </c>
      <c r="C91" s="3" t="s">
        <v>165</v>
      </c>
      <c r="D91" s="3" t="s">
        <v>166</v>
      </c>
      <c r="E91" s="3" t="s">
        <v>26</v>
      </c>
      <c r="F91" s="4">
        <v>14700</v>
      </c>
      <c r="G91" s="3">
        <v>78</v>
      </c>
      <c r="H91" s="3">
        <v>36</v>
      </c>
      <c r="I91" s="3">
        <v>21</v>
      </c>
      <c r="J91" s="3">
        <v>9</v>
      </c>
      <c r="K91" s="3">
        <v>3</v>
      </c>
      <c r="L91" s="3">
        <v>53</v>
      </c>
      <c r="M91" s="3">
        <f>400+300</f>
        <v>700</v>
      </c>
      <c r="N91" s="3">
        <v>27</v>
      </c>
      <c r="O91" s="3" t="s">
        <v>22</v>
      </c>
      <c r="P91" s="3" t="s">
        <v>167</v>
      </c>
      <c r="Q91" s="4">
        <f t="shared" si="7"/>
        <v>58968</v>
      </c>
      <c r="R91" s="3">
        <f t="shared" si="8"/>
        <v>2808</v>
      </c>
      <c r="S91" s="3">
        <f t="shared" si="6"/>
        <v>3</v>
      </c>
    </row>
    <row r="92" spans="1:19" ht="15" customHeight="1" x14ac:dyDescent="0.25">
      <c r="A92" s="1">
        <v>91</v>
      </c>
      <c r="B92" s="1" t="s">
        <v>168</v>
      </c>
      <c r="C92" s="3" t="s">
        <v>169</v>
      </c>
      <c r="D92" s="3" t="s">
        <v>170</v>
      </c>
      <c r="E92" s="3" t="s">
        <v>21</v>
      </c>
      <c r="F92" s="4">
        <v>1000</v>
      </c>
      <c r="G92" s="3">
        <v>27</v>
      </c>
      <c r="H92" s="3">
        <v>19</v>
      </c>
      <c r="I92" s="3">
        <v>4</v>
      </c>
      <c r="J92" s="3">
        <v>3</v>
      </c>
      <c r="K92" s="3">
        <v>2</v>
      </c>
      <c r="L92" s="3">
        <v>14</v>
      </c>
      <c r="M92" s="3">
        <f>20+20</f>
        <v>40</v>
      </c>
      <c r="N92" s="3">
        <v>3</v>
      </c>
      <c r="O92" s="3" t="s">
        <v>22</v>
      </c>
      <c r="Q92" s="4">
        <f t="shared" si="7"/>
        <v>2052</v>
      </c>
      <c r="R92" s="3">
        <f t="shared" si="8"/>
        <v>513</v>
      </c>
      <c r="S92" s="3">
        <f t="shared" si="6"/>
        <v>1</v>
      </c>
    </row>
    <row r="93" spans="1:19" ht="15" customHeight="1" x14ac:dyDescent="0.25">
      <c r="A93" s="1">
        <v>92</v>
      </c>
      <c r="B93" s="1" t="s">
        <v>168</v>
      </c>
      <c r="C93" s="3" t="s">
        <v>169</v>
      </c>
      <c r="D93" s="3" t="s">
        <v>170</v>
      </c>
      <c r="E93" s="3" t="s">
        <v>21</v>
      </c>
      <c r="F93" s="4">
        <v>1000</v>
      </c>
      <c r="G93" s="3">
        <v>41</v>
      </c>
      <c r="H93" s="3">
        <v>22</v>
      </c>
      <c r="I93" s="3">
        <v>4</v>
      </c>
      <c r="J93" s="3">
        <v>3</v>
      </c>
      <c r="K93" s="3">
        <v>2</v>
      </c>
      <c r="L93" s="3">
        <v>24</v>
      </c>
      <c r="M93" s="3">
        <f>20+20</f>
        <v>40</v>
      </c>
      <c r="N93" s="3">
        <v>3</v>
      </c>
      <c r="O93" s="3" t="s">
        <v>22</v>
      </c>
      <c r="Q93" s="4">
        <f t="shared" si="7"/>
        <v>3608</v>
      </c>
      <c r="R93" s="3">
        <f t="shared" si="8"/>
        <v>902</v>
      </c>
      <c r="S93" s="3">
        <f t="shared" si="6"/>
        <v>1</v>
      </c>
    </row>
    <row r="94" spans="1:19" ht="15" customHeight="1" x14ac:dyDescent="0.25">
      <c r="A94" s="1">
        <v>93</v>
      </c>
      <c r="B94" s="1" t="s">
        <v>130</v>
      </c>
      <c r="C94" s="3" t="s">
        <v>60</v>
      </c>
      <c r="D94" s="3" t="s">
        <v>131</v>
      </c>
      <c r="E94" s="3" t="s">
        <v>21</v>
      </c>
      <c r="F94" s="4">
        <v>2300</v>
      </c>
      <c r="G94" s="3">
        <v>26</v>
      </c>
      <c r="H94" s="3">
        <v>29</v>
      </c>
      <c r="I94" s="3">
        <v>20</v>
      </c>
      <c r="J94" s="3">
        <v>7</v>
      </c>
      <c r="K94" s="3">
        <v>2</v>
      </c>
      <c r="L94" s="3">
        <v>16</v>
      </c>
      <c r="M94" s="3">
        <f>60+60</f>
        <v>120</v>
      </c>
      <c r="N94" s="3">
        <v>7</v>
      </c>
      <c r="O94" s="3" t="s">
        <v>22</v>
      </c>
      <c r="Q94" s="4">
        <f t="shared" si="7"/>
        <v>15080</v>
      </c>
      <c r="R94" s="3">
        <f t="shared" si="8"/>
        <v>754</v>
      </c>
      <c r="S94" s="3">
        <f t="shared" si="6"/>
        <v>1</v>
      </c>
    </row>
    <row r="95" spans="1:19" ht="15" customHeight="1" x14ac:dyDescent="0.25">
      <c r="A95" s="1">
        <v>94</v>
      </c>
      <c r="B95" s="1" t="s">
        <v>132</v>
      </c>
      <c r="C95" s="3" t="s">
        <v>60</v>
      </c>
      <c r="D95" s="3" t="s">
        <v>131</v>
      </c>
      <c r="E95" s="3" t="s">
        <v>21</v>
      </c>
      <c r="F95" s="4">
        <v>3800</v>
      </c>
      <c r="G95" s="3">
        <v>60</v>
      </c>
      <c r="H95" s="3">
        <v>29</v>
      </c>
      <c r="I95" s="3">
        <v>20</v>
      </c>
      <c r="J95" s="3">
        <v>6</v>
      </c>
      <c r="K95" s="3">
        <v>2</v>
      </c>
      <c r="L95" s="3">
        <v>38</v>
      </c>
      <c r="M95" s="3">
        <f>50+50</f>
        <v>100</v>
      </c>
      <c r="N95" s="3">
        <v>7</v>
      </c>
      <c r="O95" s="3" t="s">
        <v>22</v>
      </c>
      <c r="P95" s="3" t="s">
        <v>152</v>
      </c>
      <c r="Q95" s="4">
        <f t="shared" si="7"/>
        <v>34800</v>
      </c>
      <c r="R95" s="3">
        <f t="shared" si="8"/>
        <v>1740</v>
      </c>
      <c r="S95" s="3">
        <f t="shared" si="6"/>
        <v>2</v>
      </c>
    </row>
    <row r="96" spans="1:19" ht="15" customHeight="1" x14ac:dyDescent="0.25">
      <c r="A96" s="1">
        <v>95</v>
      </c>
      <c r="B96" s="1" t="s">
        <v>171</v>
      </c>
      <c r="C96" s="3" t="s">
        <v>169</v>
      </c>
      <c r="D96" s="3" t="s">
        <v>172</v>
      </c>
      <c r="E96" s="3" t="s">
        <v>26</v>
      </c>
      <c r="F96" s="4">
        <v>1000</v>
      </c>
      <c r="G96" s="3">
        <v>40</v>
      </c>
      <c r="H96" s="3">
        <v>31</v>
      </c>
      <c r="I96" s="3">
        <v>10</v>
      </c>
      <c r="J96" s="3">
        <v>3</v>
      </c>
      <c r="K96" s="3">
        <v>1</v>
      </c>
      <c r="L96" s="3">
        <v>25</v>
      </c>
      <c r="M96" s="3">
        <f>100+100</f>
        <v>200</v>
      </c>
      <c r="N96" s="3">
        <v>3</v>
      </c>
      <c r="O96" s="3" t="s">
        <v>22</v>
      </c>
      <c r="P96" s="3" t="s">
        <v>167</v>
      </c>
      <c r="Q96" s="4">
        <f t="shared" si="7"/>
        <v>12400</v>
      </c>
      <c r="R96" s="3">
        <f t="shared" si="8"/>
        <v>1240</v>
      </c>
      <c r="S96" s="3">
        <f t="shared" si="6"/>
        <v>1</v>
      </c>
    </row>
    <row r="97" spans="1:19" ht="15" customHeight="1" x14ac:dyDescent="0.25">
      <c r="A97" s="1">
        <v>96</v>
      </c>
      <c r="B97" s="1" t="s">
        <v>173</v>
      </c>
      <c r="C97" s="3" t="s">
        <v>174</v>
      </c>
      <c r="D97" s="3" t="s">
        <v>175</v>
      </c>
      <c r="E97" s="3" t="s">
        <v>21</v>
      </c>
      <c r="F97" s="4">
        <v>5000</v>
      </c>
      <c r="G97" s="3">
        <v>60</v>
      </c>
      <c r="H97" s="3">
        <v>42</v>
      </c>
      <c r="I97" s="3">
        <v>10</v>
      </c>
      <c r="J97" s="3">
        <v>5</v>
      </c>
      <c r="K97" s="3">
        <v>2</v>
      </c>
      <c r="L97" s="3">
        <v>42</v>
      </c>
      <c r="M97" s="3">
        <f>40+65</f>
        <v>105</v>
      </c>
      <c r="N97" s="3">
        <f>4+1</f>
        <v>5</v>
      </c>
      <c r="O97" s="3" t="s">
        <v>39</v>
      </c>
      <c r="P97" s="6" t="s">
        <v>176</v>
      </c>
      <c r="Q97" s="4">
        <f t="shared" si="7"/>
        <v>25200</v>
      </c>
      <c r="R97" s="3">
        <f t="shared" si="8"/>
        <v>2520</v>
      </c>
      <c r="S97" s="3">
        <f t="shared" si="6"/>
        <v>1</v>
      </c>
    </row>
    <row r="98" spans="1:19" ht="15" customHeight="1" x14ac:dyDescent="0.25">
      <c r="A98" s="1">
        <v>97</v>
      </c>
      <c r="B98" s="1" t="s">
        <v>173</v>
      </c>
      <c r="C98" s="3" t="s">
        <v>174</v>
      </c>
      <c r="D98" s="3" t="s">
        <v>175</v>
      </c>
      <c r="E98" s="3" t="s">
        <v>21</v>
      </c>
      <c r="F98" s="4">
        <v>5200</v>
      </c>
      <c r="G98" s="3">
        <v>61</v>
      </c>
      <c r="H98" s="3">
        <v>44</v>
      </c>
      <c r="I98" s="3">
        <v>10</v>
      </c>
      <c r="J98" s="3">
        <v>5</v>
      </c>
      <c r="K98" s="3">
        <v>4</v>
      </c>
      <c r="L98" s="3">
        <v>40</v>
      </c>
      <c r="M98" s="3">
        <f>40+65</f>
        <v>105</v>
      </c>
      <c r="N98" s="3">
        <v>9</v>
      </c>
      <c r="O98" s="3" t="s">
        <v>39</v>
      </c>
      <c r="P98" s="6" t="s">
        <v>176</v>
      </c>
      <c r="Q98" s="4">
        <f t="shared" si="7"/>
        <v>26840</v>
      </c>
      <c r="R98" s="3">
        <f t="shared" si="8"/>
        <v>2684</v>
      </c>
      <c r="S98" s="3">
        <f t="shared" ref="S98:S129" si="9">_xlfn.CEILING.MATH(IF(E98="ESS",R98/(G98*(H98/K98)),N98/J98))</f>
        <v>2</v>
      </c>
    </row>
    <row r="99" spans="1:19" ht="15" customHeight="1" x14ac:dyDescent="0.25">
      <c r="A99" s="1">
        <v>98</v>
      </c>
      <c r="B99" s="1" t="s">
        <v>160</v>
      </c>
      <c r="C99" s="3" t="s">
        <v>34</v>
      </c>
      <c r="D99" s="3" t="s">
        <v>161</v>
      </c>
      <c r="E99" s="3" t="s">
        <v>21</v>
      </c>
      <c r="F99" s="4">
        <v>5200</v>
      </c>
      <c r="G99" s="3">
        <v>110</v>
      </c>
      <c r="H99" s="3">
        <v>60</v>
      </c>
      <c r="I99" s="3">
        <f>(1.5+4.5)</f>
        <v>6</v>
      </c>
      <c r="J99" s="3">
        <v>4</v>
      </c>
      <c r="K99" s="3">
        <v>6</v>
      </c>
      <c r="L99" s="3">
        <v>70</v>
      </c>
      <c r="M99" s="3">
        <f>76+59+9+8</f>
        <v>152</v>
      </c>
      <c r="N99" s="3">
        <f>16+2</f>
        <v>18</v>
      </c>
      <c r="O99" s="3" t="s">
        <v>39</v>
      </c>
      <c r="P99" s="3" t="s">
        <v>162</v>
      </c>
      <c r="Q99" s="4">
        <f t="shared" si="7"/>
        <v>39600</v>
      </c>
      <c r="R99" s="3">
        <f t="shared" si="8"/>
        <v>6600</v>
      </c>
      <c r="S99" s="3">
        <f t="shared" si="9"/>
        <v>5</v>
      </c>
    </row>
    <row r="100" spans="1:19" ht="15" customHeight="1" x14ac:dyDescent="0.25">
      <c r="A100" s="1">
        <v>99</v>
      </c>
      <c r="B100" s="1" t="s">
        <v>177</v>
      </c>
      <c r="C100" s="3" t="s">
        <v>178</v>
      </c>
      <c r="D100" s="3" t="s">
        <v>179</v>
      </c>
      <c r="E100" s="3" t="s">
        <v>21</v>
      </c>
      <c r="F100" s="4">
        <v>1600</v>
      </c>
      <c r="G100" s="3">
        <v>16</v>
      </c>
      <c r="H100" s="3">
        <v>25</v>
      </c>
      <c r="I100" s="3">
        <v>13</v>
      </c>
      <c r="J100" s="3">
        <v>9</v>
      </c>
      <c r="K100" s="3">
        <v>1</v>
      </c>
      <c r="L100" s="3">
        <v>13</v>
      </c>
      <c r="M100" s="3">
        <f>15+15</f>
        <v>30</v>
      </c>
      <c r="N100" s="3">
        <v>4</v>
      </c>
      <c r="O100" s="3" t="s">
        <v>22</v>
      </c>
      <c r="P100" s="3" t="s">
        <v>156</v>
      </c>
      <c r="Q100" s="4">
        <f t="shared" si="7"/>
        <v>5200</v>
      </c>
      <c r="R100" s="3">
        <f t="shared" si="8"/>
        <v>400</v>
      </c>
      <c r="S100" s="3">
        <f t="shared" si="9"/>
        <v>1</v>
      </c>
    </row>
    <row r="101" spans="1:19" ht="15" customHeight="1" x14ac:dyDescent="0.25">
      <c r="A101" s="1">
        <v>100</v>
      </c>
      <c r="B101" s="1" t="s">
        <v>180</v>
      </c>
      <c r="C101" s="3" t="s">
        <v>178</v>
      </c>
      <c r="D101" s="3" t="s">
        <v>181</v>
      </c>
      <c r="E101" s="3" t="s">
        <v>21</v>
      </c>
      <c r="F101" s="4">
        <v>2300</v>
      </c>
      <c r="G101" s="3">
        <v>12</v>
      </c>
      <c r="H101" s="3">
        <v>39</v>
      </c>
      <c r="I101" s="3">
        <v>12</v>
      </c>
      <c r="J101" s="3">
        <v>11</v>
      </c>
      <c r="K101" s="3">
        <v>1</v>
      </c>
      <c r="L101" s="3">
        <v>21</v>
      </c>
      <c r="M101" s="3">
        <f>15+15</f>
        <v>30</v>
      </c>
      <c r="N101" s="3">
        <v>4</v>
      </c>
      <c r="O101" s="3" t="s">
        <v>22</v>
      </c>
      <c r="P101" s="3" t="s">
        <v>156</v>
      </c>
      <c r="Q101" s="4">
        <f t="shared" si="7"/>
        <v>5616</v>
      </c>
      <c r="R101" s="3">
        <f t="shared" si="8"/>
        <v>468</v>
      </c>
      <c r="S101" s="3">
        <f t="shared" si="9"/>
        <v>1</v>
      </c>
    </row>
    <row r="102" spans="1:19" ht="15" customHeight="1" x14ac:dyDescent="0.25">
      <c r="A102" s="1">
        <v>101</v>
      </c>
      <c r="B102" s="1" t="s">
        <v>182</v>
      </c>
      <c r="C102" s="3" t="s">
        <v>183</v>
      </c>
      <c r="D102" s="3" t="s">
        <v>184</v>
      </c>
      <c r="E102" s="3" t="s">
        <v>21</v>
      </c>
      <c r="F102" s="4">
        <v>10000</v>
      </c>
      <c r="G102" s="3">
        <v>45</v>
      </c>
      <c r="H102" s="3">
        <v>38</v>
      </c>
      <c r="I102" s="3">
        <v>11</v>
      </c>
      <c r="J102" s="3">
        <v>5</v>
      </c>
      <c r="K102" s="3">
        <v>3</v>
      </c>
      <c r="L102" s="3">
        <v>45</v>
      </c>
      <c r="M102" s="3">
        <f>50+50</f>
        <v>100</v>
      </c>
      <c r="N102" s="3">
        <v>7</v>
      </c>
      <c r="O102" s="3" t="s">
        <v>22</v>
      </c>
      <c r="Q102" s="4">
        <f t="shared" si="7"/>
        <v>18810</v>
      </c>
      <c r="R102" s="3">
        <f t="shared" si="8"/>
        <v>1710</v>
      </c>
      <c r="S102" s="3">
        <f t="shared" si="9"/>
        <v>2</v>
      </c>
    </row>
    <row r="103" spans="1:19" ht="15" customHeight="1" x14ac:dyDescent="0.25">
      <c r="A103" s="1">
        <v>103</v>
      </c>
      <c r="B103" s="1" t="s">
        <v>173</v>
      </c>
      <c r="C103" s="3" t="s">
        <v>174</v>
      </c>
      <c r="D103" s="3" t="s">
        <v>175</v>
      </c>
      <c r="E103" s="3" t="s">
        <v>21</v>
      </c>
      <c r="F103" s="4">
        <v>5200</v>
      </c>
      <c r="G103" s="3">
        <v>62</v>
      </c>
      <c r="H103" s="3">
        <v>45</v>
      </c>
      <c r="I103" s="3">
        <v>10</v>
      </c>
      <c r="J103" s="3">
        <v>5</v>
      </c>
      <c r="K103" s="3">
        <v>2</v>
      </c>
      <c r="L103" s="3">
        <v>42</v>
      </c>
      <c r="M103" s="3">
        <f>40+65</f>
        <v>105</v>
      </c>
      <c r="N103" s="3">
        <v>9</v>
      </c>
      <c r="O103" s="3" t="s">
        <v>39</v>
      </c>
      <c r="P103" s="6" t="s">
        <v>176</v>
      </c>
      <c r="Q103" s="4">
        <f t="shared" si="7"/>
        <v>27900</v>
      </c>
      <c r="R103" s="3">
        <f t="shared" si="8"/>
        <v>2790</v>
      </c>
      <c r="S103" s="3">
        <f t="shared" si="9"/>
        <v>2</v>
      </c>
    </row>
    <row r="104" spans="1:19" ht="15" customHeight="1" x14ac:dyDescent="0.25">
      <c r="A104" s="1">
        <v>104</v>
      </c>
      <c r="B104" s="1" t="s">
        <v>185</v>
      </c>
      <c r="C104" s="3" t="s">
        <v>186</v>
      </c>
      <c r="D104" s="3" t="s">
        <v>187</v>
      </c>
      <c r="E104" s="3" t="s">
        <v>21</v>
      </c>
      <c r="F104" s="4">
        <v>51000</v>
      </c>
      <c r="G104" s="3">
        <v>247</v>
      </c>
      <c r="H104" s="3">
        <v>107</v>
      </c>
      <c r="I104" s="3">
        <v>10</v>
      </c>
      <c r="J104" s="3">
        <v>4</v>
      </c>
      <c r="K104" s="3">
        <v>18</v>
      </c>
      <c r="L104" s="3">
        <v>67</v>
      </c>
      <c r="M104" s="3">
        <f>150+150</f>
        <v>300</v>
      </c>
      <c r="N104" s="3">
        <v>24</v>
      </c>
      <c r="O104" s="3" t="s">
        <v>22</v>
      </c>
      <c r="P104" s="6"/>
      <c r="Q104" s="4">
        <f t="shared" si="7"/>
        <v>264290</v>
      </c>
      <c r="R104" s="3">
        <f t="shared" si="8"/>
        <v>26429</v>
      </c>
      <c r="S104" s="3">
        <f t="shared" si="9"/>
        <v>6</v>
      </c>
    </row>
    <row r="105" spans="1:19" ht="15" customHeight="1" x14ac:dyDescent="0.25">
      <c r="A105" s="1">
        <v>105</v>
      </c>
      <c r="B105" s="1" t="s">
        <v>188</v>
      </c>
      <c r="C105" s="3" t="s">
        <v>107</v>
      </c>
      <c r="D105" s="3" t="s">
        <v>189</v>
      </c>
      <c r="E105" s="3" t="s">
        <v>26</v>
      </c>
      <c r="F105" s="4">
        <v>960</v>
      </c>
      <c r="G105" s="3">
        <v>43</v>
      </c>
      <c r="H105" s="3">
        <v>14</v>
      </c>
      <c r="I105" s="3">
        <v>6.3</v>
      </c>
      <c r="J105" s="3">
        <v>3</v>
      </c>
      <c r="K105" s="3">
        <v>1</v>
      </c>
      <c r="L105" s="3">
        <v>27</v>
      </c>
      <c r="M105" s="3">
        <f>23+23</f>
        <v>46</v>
      </c>
      <c r="N105" s="3">
        <v>3</v>
      </c>
      <c r="O105" s="3" t="s">
        <v>22</v>
      </c>
      <c r="Q105" s="4">
        <f t="shared" si="7"/>
        <v>3792.6</v>
      </c>
      <c r="R105" s="3">
        <f t="shared" si="8"/>
        <v>602</v>
      </c>
      <c r="S105" s="3">
        <f t="shared" si="9"/>
        <v>1</v>
      </c>
    </row>
    <row r="106" spans="1:19" ht="15" customHeight="1" x14ac:dyDescent="0.25">
      <c r="A106" s="1">
        <v>106</v>
      </c>
      <c r="B106" s="1" t="s">
        <v>190</v>
      </c>
      <c r="C106" s="3" t="s">
        <v>85</v>
      </c>
      <c r="D106" s="3" t="s">
        <v>86</v>
      </c>
      <c r="E106" s="3" t="s">
        <v>26</v>
      </c>
      <c r="F106" s="4">
        <v>49800</v>
      </c>
      <c r="G106" s="3">
        <v>185</v>
      </c>
      <c r="H106" s="3">
        <v>85</v>
      </c>
      <c r="I106" s="3">
        <v>12</v>
      </c>
      <c r="J106" s="3">
        <v>5</v>
      </c>
      <c r="K106" s="3">
        <v>5</v>
      </c>
      <c r="L106" s="3">
        <v>124</v>
      </c>
      <c r="M106" s="3">
        <f>300+300</f>
        <v>600</v>
      </c>
      <c r="N106" s="3">
        <v>50</v>
      </c>
      <c r="O106" s="3" t="s">
        <v>22</v>
      </c>
      <c r="Q106" s="4">
        <f t="shared" si="7"/>
        <v>188700</v>
      </c>
      <c r="R106" s="3">
        <f t="shared" si="8"/>
        <v>15725</v>
      </c>
      <c r="S106" s="3">
        <f t="shared" si="9"/>
        <v>5</v>
      </c>
    </row>
    <row r="107" spans="1:19" ht="15" customHeight="1" x14ac:dyDescent="0.25">
      <c r="A107" s="1">
        <v>107</v>
      </c>
      <c r="B107" s="1" t="s">
        <v>191</v>
      </c>
      <c r="C107" s="3" t="s">
        <v>100</v>
      </c>
      <c r="D107" s="3" t="s">
        <v>192</v>
      </c>
      <c r="E107" s="3" t="s">
        <v>26</v>
      </c>
      <c r="F107" s="4">
        <v>19400</v>
      </c>
      <c r="G107" s="3">
        <v>101</v>
      </c>
      <c r="H107" s="3">
        <v>60</v>
      </c>
      <c r="I107" s="3">
        <v>12.4</v>
      </c>
      <c r="J107" s="3">
        <v>6</v>
      </c>
      <c r="K107" s="3">
        <v>2</v>
      </c>
      <c r="L107" s="3">
        <v>78</v>
      </c>
      <c r="M107" s="3">
        <f>80+80</f>
        <v>160</v>
      </c>
      <c r="N107" s="3">
        <v>12</v>
      </c>
      <c r="O107" s="3" t="s">
        <v>22</v>
      </c>
      <c r="Q107" s="4">
        <f t="shared" si="7"/>
        <v>75144</v>
      </c>
      <c r="R107" s="3">
        <f t="shared" si="8"/>
        <v>6060</v>
      </c>
      <c r="S107" s="3">
        <f t="shared" si="9"/>
        <v>2</v>
      </c>
    </row>
    <row r="108" spans="1:19" ht="15" customHeight="1" x14ac:dyDescent="0.25">
      <c r="A108" s="1">
        <v>108</v>
      </c>
      <c r="B108" s="1" t="s">
        <v>130</v>
      </c>
      <c r="C108" s="3" t="s">
        <v>60</v>
      </c>
      <c r="D108" s="3" t="s">
        <v>131</v>
      </c>
      <c r="E108" s="3" t="s">
        <v>21</v>
      </c>
      <c r="F108" s="4">
        <v>2300</v>
      </c>
      <c r="G108" s="3">
        <v>24</v>
      </c>
      <c r="H108" s="3">
        <v>29</v>
      </c>
      <c r="I108" s="3">
        <v>20</v>
      </c>
      <c r="J108" s="3">
        <v>7</v>
      </c>
      <c r="K108" s="3">
        <v>2</v>
      </c>
      <c r="L108" s="3">
        <v>16</v>
      </c>
      <c r="M108" s="3">
        <f>60+60</f>
        <v>120</v>
      </c>
      <c r="N108" s="3">
        <v>7</v>
      </c>
      <c r="O108" s="3" t="s">
        <v>22</v>
      </c>
      <c r="Q108" s="4">
        <f t="shared" si="7"/>
        <v>13920</v>
      </c>
      <c r="R108" s="3">
        <f t="shared" si="8"/>
        <v>696</v>
      </c>
      <c r="S108" s="3">
        <f t="shared" si="9"/>
        <v>1</v>
      </c>
    </row>
    <row r="109" spans="1:19" ht="15" customHeight="1" x14ac:dyDescent="0.25">
      <c r="A109" s="1">
        <v>109</v>
      </c>
      <c r="B109" s="1" t="s">
        <v>132</v>
      </c>
      <c r="C109" s="3" t="s">
        <v>60</v>
      </c>
      <c r="D109" s="3" t="s">
        <v>131</v>
      </c>
      <c r="E109" s="3" t="s">
        <v>21</v>
      </c>
      <c r="F109" s="4">
        <v>3800</v>
      </c>
      <c r="G109" s="3">
        <v>58</v>
      </c>
      <c r="H109" s="3">
        <v>29</v>
      </c>
      <c r="I109" s="3">
        <v>20</v>
      </c>
      <c r="J109" s="3">
        <v>6</v>
      </c>
      <c r="K109" s="3">
        <v>2</v>
      </c>
      <c r="L109" s="3">
        <v>38</v>
      </c>
      <c r="M109" s="3">
        <f>50+50</f>
        <v>100</v>
      </c>
      <c r="N109" s="3">
        <v>7</v>
      </c>
      <c r="O109" s="3" t="s">
        <v>22</v>
      </c>
      <c r="P109" s="3" t="s">
        <v>152</v>
      </c>
      <c r="Q109" s="4">
        <f t="shared" si="7"/>
        <v>33640</v>
      </c>
      <c r="R109" s="3">
        <f t="shared" si="8"/>
        <v>1682</v>
      </c>
      <c r="S109" s="3">
        <f t="shared" si="9"/>
        <v>2</v>
      </c>
    </row>
    <row r="110" spans="1:19" ht="15" customHeight="1" x14ac:dyDescent="0.25">
      <c r="A110" s="1">
        <v>110</v>
      </c>
      <c r="B110" s="1" t="s">
        <v>193</v>
      </c>
      <c r="C110" s="3" t="s">
        <v>194</v>
      </c>
      <c r="D110" s="3" t="s">
        <v>195</v>
      </c>
      <c r="E110" s="3" t="s">
        <v>21</v>
      </c>
      <c r="F110" s="4">
        <v>10700</v>
      </c>
      <c r="G110" s="3">
        <v>29</v>
      </c>
      <c r="H110" s="3">
        <v>65</v>
      </c>
      <c r="I110" s="3">
        <v>20</v>
      </c>
      <c r="J110" s="3">
        <v>8</v>
      </c>
      <c r="K110" s="3">
        <v>2</v>
      </c>
      <c r="L110" s="3">
        <v>44</v>
      </c>
      <c r="M110" s="3">
        <f>60+60</f>
        <v>120</v>
      </c>
      <c r="N110" s="3">
        <v>8</v>
      </c>
      <c r="O110" s="3" t="s">
        <v>22</v>
      </c>
      <c r="Q110" s="4">
        <f t="shared" si="7"/>
        <v>37700</v>
      </c>
      <c r="R110" s="3">
        <f t="shared" si="8"/>
        <v>1885</v>
      </c>
      <c r="S110" s="3">
        <f t="shared" si="9"/>
        <v>1</v>
      </c>
    </row>
    <row r="111" spans="1:19" ht="15" customHeight="1" x14ac:dyDescent="0.25">
      <c r="A111" s="1">
        <v>111</v>
      </c>
      <c r="B111" s="1" t="s">
        <v>193</v>
      </c>
      <c r="C111" s="3" t="s">
        <v>194</v>
      </c>
      <c r="D111" s="3" t="s">
        <v>195</v>
      </c>
      <c r="E111" s="3" t="s">
        <v>21</v>
      </c>
      <c r="F111" s="4">
        <v>7200</v>
      </c>
      <c r="G111" s="3">
        <v>29</v>
      </c>
      <c r="H111" s="3">
        <v>56</v>
      </c>
      <c r="I111" s="3">
        <v>20</v>
      </c>
      <c r="J111" s="3">
        <v>10</v>
      </c>
      <c r="K111" s="3">
        <v>2</v>
      </c>
      <c r="L111" s="3">
        <v>33</v>
      </c>
      <c r="M111" s="3">
        <f>40+40</f>
        <v>80</v>
      </c>
      <c r="N111" s="3">
        <v>6</v>
      </c>
      <c r="O111" s="3" t="s">
        <v>22</v>
      </c>
      <c r="P111" s="3" t="s">
        <v>196</v>
      </c>
      <c r="Q111" s="4">
        <f t="shared" si="7"/>
        <v>32480</v>
      </c>
      <c r="R111" s="3">
        <f t="shared" si="8"/>
        <v>1624</v>
      </c>
      <c r="S111" s="3">
        <f t="shared" si="9"/>
        <v>1</v>
      </c>
    </row>
    <row r="112" spans="1:19" ht="15" customHeight="1" x14ac:dyDescent="0.25">
      <c r="A112" s="1">
        <v>112</v>
      </c>
      <c r="B112" s="1" t="s">
        <v>114</v>
      </c>
      <c r="C112" s="3" t="s">
        <v>31</v>
      </c>
      <c r="D112" s="3" t="s">
        <v>115</v>
      </c>
      <c r="E112" s="3" t="s">
        <v>21</v>
      </c>
      <c r="F112" s="4">
        <v>7000</v>
      </c>
      <c r="G112" s="3">
        <v>44</v>
      </c>
      <c r="H112" s="3">
        <v>80</v>
      </c>
      <c r="I112" s="3">
        <v>12</v>
      </c>
      <c r="J112" s="3">
        <v>6</v>
      </c>
      <c r="K112" s="3">
        <v>2</v>
      </c>
      <c r="L112" s="3">
        <v>51</v>
      </c>
      <c r="M112" s="3">
        <f>20+40</f>
        <v>60</v>
      </c>
      <c r="N112" s="3">
        <v>6</v>
      </c>
      <c r="O112" s="3" t="s">
        <v>22</v>
      </c>
      <c r="Q112" s="4">
        <f t="shared" si="7"/>
        <v>42240</v>
      </c>
      <c r="R112" s="3">
        <f t="shared" si="8"/>
        <v>3520</v>
      </c>
      <c r="S112" s="3">
        <f t="shared" si="9"/>
        <v>1</v>
      </c>
    </row>
    <row r="113" spans="1:19" ht="15" customHeight="1" x14ac:dyDescent="0.25">
      <c r="A113" s="1">
        <v>113</v>
      </c>
      <c r="B113" s="1" t="s">
        <v>197</v>
      </c>
      <c r="C113" s="3" t="s">
        <v>198</v>
      </c>
      <c r="D113" s="3" t="s">
        <v>199</v>
      </c>
      <c r="E113" s="3" t="s">
        <v>21</v>
      </c>
      <c r="F113" s="4">
        <v>3950</v>
      </c>
      <c r="G113" s="3">
        <v>78</v>
      </c>
      <c r="H113" s="3">
        <v>43</v>
      </c>
      <c r="I113" s="3">
        <v>7.5</v>
      </c>
      <c r="J113" s="3">
        <v>3</v>
      </c>
      <c r="K113" s="3">
        <v>3</v>
      </c>
      <c r="L113" s="3">
        <v>48</v>
      </c>
      <c r="M113" s="3">
        <f>77+76</f>
        <v>153</v>
      </c>
      <c r="N113" s="3">
        <v>9</v>
      </c>
      <c r="O113" s="3" t="s">
        <v>22</v>
      </c>
      <c r="Q113" s="4">
        <f t="shared" si="7"/>
        <v>25155</v>
      </c>
      <c r="R113" s="3">
        <f t="shared" si="8"/>
        <v>3354</v>
      </c>
      <c r="S113" s="3">
        <f t="shared" si="9"/>
        <v>3</v>
      </c>
    </row>
    <row r="114" spans="1:19" ht="15" customHeight="1" x14ac:dyDescent="0.25">
      <c r="A114" s="1">
        <v>114</v>
      </c>
      <c r="B114" s="1" t="s">
        <v>200</v>
      </c>
      <c r="C114" s="3" t="s">
        <v>198</v>
      </c>
      <c r="D114" s="3" t="s">
        <v>201</v>
      </c>
      <c r="E114" s="3" t="s">
        <v>21</v>
      </c>
      <c r="F114" s="4">
        <f>4470+4220</f>
        <v>8690</v>
      </c>
      <c r="G114" s="3">
        <v>85</v>
      </c>
      <c r="H114" s="3">
        <f>25+23</f>
        <v>48</v>
      </c>
      <c r="I114" s="3">
        <v>11</v>
      </c>
      <c r="J114" s="3">
        <v>5</v>
      </c>
      <c r="K114" s="3">
        <f>2+2</f>
        <v>4</v>
      </c>
      <c r="L114" s="3">
        <v>52</v>
      </c>
      <c r="M114" s="3">
        <f>4+11</f>
        <v>15</v>
      </c>
      <c r="N114" s="3">
        <v>4</v>
      </c>
      <c r="O114" s="3" t="s">
        <v>22</v>
      </c>
      <c r="Q114" s="4">
        <f t="shared" si="7"/>
        <v>44880</v>
      </c>
      <c r="R114" s="3">
        <f t="shared" si="8"/>
        <v>4080</v>
      </c>
      <c r="S114" s="3">
        <f t="shared" si="9"/>
        <v>1</v>
      </c>
    </row>
    <row r="115" spans="1:19" ht="15" customHeight="1" x14ac:dyDescent="0.25">
      <c r="A115" s="1">
        <v>115</v>
      </c>
      <c r="B115" s="1" t="s">
        <v>202</v>
      </c>
      <c r="C115" s="3" t="s">
        <v>198</v>
      </c>
      <c r="D115" s="3" t="s">
        <v>203</v>
      </c>
      <c r="E115" s="3" t="s">
        <v>21</v>
      </c>
      <c r="F115" s="4">
        <f>2450+2450</f>
        <v>4900</v>
      </c>
      <c r="G115" s="3">
        <f>48</f>
        <v>48</v>
      </c>
      <c r="H115" s="3">
        <f>38</f>
        <v>38</v>
      </c>
      <c r="I115" s="3">
        <v>11</v>
      </c>
      <c r="J115" s="3">
        <v>5</v>
      </c>
      <c r="K115" s="3">
        <f>1+1</f>
        <v>2</v>
      </c>
      <c r="L115" s="3">
        <v>29</v>
      </c>
      <c r="M115" s="3">
        <f>3+16</f>
        <v>19</v>
      </c>
      <c r="N115" s="3">
        <f>2+2</f>
        <v>4</v>
      </c>
      <c r="O115" s="3" t="s">
        <v>39</v>
      </c>
      <c r="P115" s="3" t="s">
        <v>204</v>
      </c>
      <c r="Q115" s="4">
        <f t="shared" si="7"/>
        <v>20064</v>
      </c>
      <c r="R115" s="3">
        <f t="shared" si="8"/>
        <v>1824</v>
      </c>
      <c r="S115" s="3">
        <f t="shared" si="9"/>
        <v>1</v>
      </c>
    </row>
    <row r="116" spans="1:19" ht="15" customHeight="1" x14ac:dyDescent="0.25">
      <c r="A116" s="1">
        <v>116</v>
      </c>
      <c r="B116" s="1" t="s">
        <v>205</v>
      </c>
      <c r="C116" s="3" t="s">
        <v>206</v>
      </c>
      <c r="D116" s="3" t="s">
        <v>207</v>
      </c>
      <c r="E116" s="3" t="s">
        <v>21</v>
      </c>
      <c r="F116" s="4">
        <f>_xlfn.FLOOR.MATH((1002+(1077*2)),10)</f>
        <v>3150</v>
      </c>
      <c r="G116" s="3">
        <v>47</v>
      </c>
      <c r="H116" s="3">
        <v>42</v>
      </c>
      <c r="I116" s="3">
        <v>8</v>
      </c>
      <c r="J116" s="3">
        <f>1+2</f>
        <v>3</v>
      </c>
      <c r="K116" s="3">
        <v>3</v>
      </c>
      <c r="L116" s="3">
        <v>27</v>
      </c>
      <c r="M116" s="3">
        <f>40+40</f>
        <v>80</v>
      </c>
      <c r="N116" s="3">
        <v>5</v>
      </c>
      <c r="O116" s="3" t="s">
        <v>39</v>
      </c>
      <c r="P116" s="3" t="s">
        <v>208</v>
      </c>
      <c r="Q116" s="4">
        <f t="shared" si="7"/>
        <v>15792</v>
      </c>
      <c r="R116" s="3">
        <f t="shared" si="8"/>
        <v>1974</v>
      </c>
      <c r="S116" s="3">
        <f t="shared" si="9"/>
        <v>2</v>
      </c>
    </row>
    <row r="117" spans="1:19" ht="15" customHeight="1" x14ac:dyDescent="0.25">
      <c r="A117" s="1">
        <v>117</v>
      </c>
      <c r="B117" s="1" t="s">
        <v>209</v>
      </c>
      <c r="C117" s="3" t="s">
        <v>206</v>
      </c>
      <c r="D117" s="3" t="s">
        <v>210</v>
      </c>
      <c r="E117" s="3" t="s">
        <v>21</v>
      </c>
      <c r="F117" s="4">
        <f>5390+(5420*4)</f>
        <v>27070</v>
      </c>
      <c r="G117" s="3">
        <v>95</v>
      </c>
      <c r="H117" s="3">
        <v>95</v>
      </c>
      <c r="I117" s="3">
        <v>12</v>
      </c>
      <c r="J117" s="3">
        <f>1+4</f>
        <v>5</v>
      </c>
      <c r="K117" s="3">
        <v>4</v>
      </c>
      <c r="L117" s="3">
        <v>61</v>
      </c>
      <c r="M117" s="3">
        <f>108+92</f>
        <v>200</v>
      </c>
      <c r="N117" s="3">
        <v>14</v>
      </c>
      <c r="O117" s="3" t="s">
        <v>22</v>
      </c>
      <c r="Q117" s="4">
        <f t="shared" si="7"/>
        <v>108300</v>
      </c>
      <c r="R117" s="3">
        <f t="shared" si="8"/>
        <v>9025</v>
      </c>
      <c r="S117" s="3">
        <f t="shared" si="9"/>
        <v>3</v>
      </c>
    </row>
    <row r="118" spans="1:19" ht="15" customHeight="1" x14ac:dyDescent="0.25">
      <c r="A118" s="1">
        <v>118</v>
      </c>
      <c r="B118" s="1" t="s">
        <v>211</v>
      </c>
      <c r="C118" s="3" t="s">
        <v>212</v>
      </c>
      <c r="D118" s="3" t="s">
        <v>213</v>
      </c>
      <c r="E118" s="3" t="s">
        <v>21</v>
      </c>
      <c r="F118" s="4">
        <v>6845</v>
      </c>
      <c r="G118" s="3">
        <v>84</v>
      </c>
      <c r="H118" s="3">
        <v>42</v>
      </c>
      <c r="I118" s="3">
        <v>18</v>
      </c>
      <c r="J118" s="3">
        <v>5</v>
      </c>
      <c r="K118" s="3">
        <v>5</v>
      </c>
      <c r="L118" s="3">
        <v>49</v>
      </c>
      <c r="M118" s="3">
        <f>234+223</f>
        <v>457</v>
      </c>
      <c r="N118" s="3">
        <v>26</v>
      </c>
      <c r="O118" s="3" t="s">
        <v>214</v>
      </c>
      <c r="P118" s="3" t="s">
        <v>105</v>
      </c>
      <c r="Q118" s="4">
        <f t="shared" si="7"/>
        <v>63504</v>
      </c>
      <c r="R118" s="3">
        <f t="shared" si="8"/>
        <v>3528</v>
      </c>
      <c r="S118" s="3">
        <f t="shared" si="9"/>
        <v>6</v>
      </c>
    </row>
    <row r="119" spans="1:19" ht="15" customHeight="1" x14ac:dyDescent="0.25">
      <c r="A119" s="1">
        <v>119</v>
      </c>
      <c r="B119" s="1" t="s">
        <v>215</v>
      </c>
      <c r="C119" s="3" t="s">
        <v>31</v>
      </c>
      <c r="D119" s="3" t="s">
        <v>216</v>
      </c>
      <c r="E119" s="3" t="s">
        <v>21</v>
      </c>
      <c r="F119" s="4">
        <f>_xlfn.FLOOR.MATH(9662*4,10)</f>
        <v>38640</v>
      </c>
      <c r="G119" s="3">
        <v>186</v>
      </c>
      <c r="H119" s="3">
        <v>132</v>
      </c>
      <c r="I119" s="3">
        <v>9.1</v>
      </c>
      <c r="J119" s="3">
        <v>4</v>
      </c>
      <c r="K119" s="3">
        <v>15</v>
      </c>
      <c r="L119" s="3">
        <v>135</v>
      </c>
      <c r="M119" s="3">
        <f>268+212</f>
        <v>480</v>
      </c>
      <c r="N119" s="3">
        <v>41</v>
      </c>
      <c r="O119" s="3" t="s">
        <v>22</v>
      </c>
      <c r="P119" s="3" t="s">
        <v>162</v>
      </c>
      <c r="Q119" s="4">
        <f t="shared" si="7"/>
        <v>223423.19999999998</v>
      </c>
      <c r="R119" s="3">
        <f t="shared" si="8"/>
        <v>24552</v>
      </c>
      <c r="S119" s="3">
        <f t="shared" si="9"/>
        <v>11</v>
      </c>
    </row>
    <row r="120" spans="1:19" ht="15" customHeight="1" x14ac:dyDescent="0.25">
      <c r="A120" s="1">
        <v>120</v>
      </c>
      <c r="B120" s="1" t="s">
        <v>217</v>
      </c>
      <c r="C120" s="3" t="s">
        <v>218</v>
      </c>
      <c r="D120" s="3" t="s">
        <v>219</v>
      </c>
      <c r="E120" s="3" t="s">
        <v>21</v>
      </c>
      <c r="F120" s="4">
        <f>_xlfn.FLOOR.MATH(3043*7,10)</f>
        <v>21300</v>
      </c>
      <c r="G120" s="3">
        <v>127</v>
      </c>
      <c r="H120" s="3">
        <v>48</v>
      </c>
      <c r="I120" s="3">
        <v>15</v>
      </c>
      <c r="J120" s="3">
        <v>7</v>
      </c>
      <c r="K120" s="3">
        <v>4</v>
      </c>
      <c r="L120" s="3">
        <v>84</v>
      </c>
      <c r="M120" s="3">
        <f>40+52</f>
        <v>92</v>
      </c>
      <c r="N120" s="3">
        <v>7</v>
      </c>
      <c r="O120" s="3" t="s">
        <v>22</v>
      </c>
      <c r="P120" s="3" t="s">
        <v>152</v>
      </c>
      <c r="Q120" s="4">
        <f t="shared" si="7"/>
        <v>91440</v>
      </c>
      <c r="R120" s="3">
        <f t="shared" si="8"/>
        <v>6096</v>
      </c>
      <c r="S120" s="3">
        <f t="shared" si="9"/>
        <v>1</v>
      </c>
    </row>
    <row r="121" spans="1:19" ht="15" customHeight="1" x14ac:dyDescent="0.25">
      <c r="A121" s="1">
        <v>121</v>
      </c>
      <c r="B121" s="1" t="s">
        <v>215</v>
      </c>
      <c r="C121" s="3" t="s">
        <v>31</v>
      </c>
      <c r="D121" s="3" t="s">
        <v>216</v>
      </c>
      <c r="E121" s="3" t="s">
        <v>21</v>
      </c>
      <c r="F121" s="4">
        <f>_xlfn.FLOOR.MATH(9698*4,10)</f>
        <v>38790</v>
      </c>
      <c r="G121" s="3">
        <v>186</v>
      </c>
      <c r="H121" s="3">
        <v>128</v>
      </c>
      <c r="I121" s="3">
        <v>9.1</v>
      </c>
      <c r="J121" s="3">
        <v>4</v>
      </c>
      <c r="K121" s="3">
        <v>15</v>
      </c>
      <c r="L121" s="3">
        <v>135</v>
      </c>
      <c r="M121" s="3">
        <f>268+212</f>
        <v>480</v>
      </c>
      <c r="N121" s="3">
        <v>41</v>
      </c>
      <c r="O121" s="3" t="s">
        <v>22</v>
      </c>
      <c r="P121" s="3" t="s">
        <v>162</v>
      </c>
      <c r="Q121" s="4">
        <f t="shared" si="7"/>
        <v>216652.79999999999</v>
      </c>
      <c r="R121" s="3">
        <f t="shared" si="8"/>
        <v>23808</v>
      </c>
      <c r="S121" s="3">
        <f t="shared" si="9"/>
        <v>11</v>
      </c>
    </row>
    <row r="122" spans="1:19" ht="15" customHeight="1" x14ac:dyDescent="0.25">
      <c r="A122" s="1">
        <v>122</v>
      </c>
      <c r="B122" s="1" t="s">
        <v>220</v>
      </c>
      <c r="C122" s="3" t="s">
        <v>221</v>
      </c>
      <c r="D122" s="3" t="s">
        <v>222</v>
      </c>
      <c r="E122" s="3" t="s">
        <v>21</v>
      </c>
      <c r="F122" s="4">
        <v>150</v>
      </c>
      <c r="G122" s="3">
        <v>25</v>
      </c>
      <c r="H122" s="3">
        <v>11</v>
      </c>
      <c r="I122" s="3">
        <v>2.5</v>
      </c>
      <c r="J122" s="3">
        <v>1</v>
      </c>
      <c r="K122" s="3">
        <v>2</v>
      </c>
      <c r="L122" s="3">
        <v>17</v>
      </c>
      <c r="M122" s="3">
        <f>30+30</f>
        <v>60</v>
      </c>
      <c r="N122" s="3">
        <v>2</v>
      </c>
      <c r="O122" s="3" t="s">
        <v>22</v>
      </c>
      <c r="Q122" s="4">
        <f t="shared" si="7"/>
        <v>687.5</v>
      </c>
      <c r="R122" s="3">
        <f t="shared" si="8"/>
        <v>275</v>
      </c>
      <c r="S122" s="3">
        <f t="shared" si="9"/>
        <v>2</v>
      </c>
    </row>
    <row r="123" spans="1:19" ht="15" customHeight="1" x14ac:dyDescent="0.25">
      <c r="A123" s="1">
        <v>123</v>
      </c>
      <c r="B123" s="1" t="s">
        <v>223</v>
      </c>
      <c r="C123" s="3" t="s">
        <v>224</v>
      </c>
      <c r="D123" s="3" t="s">
        <v>225</v>
      </c>
      <c r="E123" s="3" t="s">
        <v>21</v>
      </c>
      <c r="F123" s="4">
        <v>2115</v>
      </c>
      <c r="G123" s="3">
        <v>96</v>
      </c>
      <c r="H123" s="3">
        <v>95</v>
      </c>
      <c r="I123" s="3">
        <v>12</v>
      </c>
      <c r="J123" s="3">
        <v>5</v>
      </c>
      <c r="K123" s="3">
        <v>6</v>
      </c>
      <c r="L123" s="3">
        <v>72</v>
      </c>
      <c r="M123" s="3">
        <f>314+200</f>
        <v>514</v>
      </c>
      <c r="N123" s="3">
        <v>39</v>
      </c>
      <c r="O123" s="3" t="s">
        <v>22</v>
      </c>
      <c r="P123" s="3" t="s">
        <v>162</v>
      </c>
      <c r="Q123" s="4">
        <f t="shared" si="7"/>
        <v>109440</v>
      </c>
      <c r="R123" s="3">
        <f t="shared" si="8"/>
        <v>9120</v>
      </c>
      <c r="S123" s="3">
        <f t="shared" si="9"/>
        <v>8</v>
      </c>
    </row>
    <row r="124" spans="1:19" ht="15" customHeight="1" x14ac:dyDescent="0.25">
      <c r="A124" s="1">
        <v>124</v>
      </c>
      <c r="B124" s="1" t="s">
        <v>211</v>
      </c>
      <c r="C124" s="3" t="s">
        <v>226</v>
      </c>
      <c r="D124" s="3" t="s">
        <v>213</v>
      </c>
      <c r="E124" s="3" t="s">
        <v>21</v>
      </c>
      <c r="F124" s="4">
        <v>6400</v>
      </c>
      <c r="G124" s="3">
        <v>90</v>
      </c>
      <c r="H124" s="3">
        <v>42</v>
      </c>
      <c r="I124" s="3">
        <v>18</v>
      </c>
      <c r="J124" s="3">
        <v>6</v>
      </c>
      <c r="K124" s="3">
        <v>8</v>
      </c>
      <c r="L124" s="3">
        <v>52</v>
      </c>
      <c r="M124" s="3">
        <f>234+223</f>
        <v>457</v>
      </c>
      <c r="N124" s="3">
        <v>30</v>
      </c>
      <c r="O124" s="3" t="s">
        <v>214</v>
      </c>
      <c r="P124" s="3" t="s">
        <v>227</v>
      </c>
      <c r="Q124" s="4">
        <f t="shared" si="7"/>
        <v>68040</v>
      </c>
      <c r="R124" s="3">
        <f t="shared" si="8"/>
        <v>3780</v>
      </c>
      <c r="S124" s="3">
        <f t="shared" si="9"/>
        <v>5</v>
      </c>
    </row>
    <row r="125" spans="1:19" ht="15" customHeight="1" x14ac:dyDescent="0.25">
      <c r="A125" s="1">
        <v>125</v>
      </c>
      <c r="B125" s="1" t="s">
        <v>211</v>
      </c>
      <c r="C125" s="3" t="s">
        <v>226</v>
      </c>
      <c r="D125" s="3" t="s">
        <v>213</v>
      </c>
      <c r="E125" s="3" t="s">
        <v>21</v>
      </c>
      <c r="F125" s="4">
        <v>6400</v>
      </c>
      <c r="G125" s="3">
        <v>91</v>
      </c>
      <c r="H125" s="3">
        <v>43</v>
      </c>
      <c r="I125" s="3">
        <v>18</v>
      </c>
      <c r="J125" s="3">
        <v>6</v>
      </c>
      <c r="K125" s="3">
        <v>8</v>
      </c>
      <c r="L125" s="3">
        <v>52</v>
      </c>
      <c r="M125" s="3">
        <f>234+223</f>
        <v>457</v>
      </c>
      <c r="N125" s="3">
        <v>26</v>
      </c>
      <c r="O125" s="3" t="s">
        <v>214</v>
      </c>
      <c r="P125" s="3" t="s">
        <v>228</v>
      </c>
      <c r="Q125" s="4">
        <f t="shared" si="7"/>
        <v>70434</v>
      </c>
      <c r="R125" s="3">
        <f t="shared" si="8"/>
        <v>3913</v>
      </c>
      <c r="S125" s="3">
        <f t="shared" si="9"/>
        <v>5</v>
      </c>
    </row>
    <row r="126" spans="1:19" ht="15" customHeight="1" x14ac:dyDescent="0.25">
      <c r="A126" s="1">
        <v>126</v>
      </c>
      <c r="B126" s="1" t="s">
        <v>229</v>
      </c>
      <c r="C126" s="3" t="s">
        <v>169</v>
      </c>
      <c r="D126" s="3" t="s">
        <v>230</v>
      </c>
      <c r="E126" s="3" t="s">
        <v>21</v>
      </c>
      <c r="F126" s="4">
        <v>11136</v>
      </c>
      <c r="G126" s="3">
        <v>74</v>
      </c>
      <c r="H126" s="3">
        <v>25</v>
      </c>
      <c r="I126" s="3">
        <v>12</v>
      </c>
      <c r="J126" s="3">
        <v>9</v>
      </c>
      <c r="K126" s="3">
        <v>2</v>
      </c>
      <c r="L126" s="3">
        <v>37</v>
      </c>
      <c r="M126" s="3">
        <f>52+52</f>
        <v>104</v>
      </c>
      <c r="N126" s="3">
        <v>8</v>
      </c>
      <c r="O126" s="3" t="s">
        <v>231</v>
      </c>
      <c r="P126" s="3" t="s">
        <v>228</v>
      </c>
      <c r="Q126" s="4">
        <f t="shared" si="7"/>
        <v>22200</v>
      </c>
      <c r="R126" s="3">
        <f t="shared" si="8"/>
        <v>1850</v>
      </c>
      <c r="S126" s="3">
        <f t="shared" si="9"/>
        <v>1</v>
      </c>
    </row>
    <row r="127" spans="1:19" ht="15" customHeight="1" x14ac:dyDescent="0.25">
      <c r="A127" s="1">
        <v>127</v>
      </c>
      <c r="B127" s="1" t="s">
        <v>229</v>
      </c>
      <c r="C127" s="3" t="s">
        <v>169</v>
      </c>
      <c r="D127" s="3" t="s">
        <v>230</v>
      </c>
      <c r="E127" s="3" t="s">
        <v>21</v>
      </c>
      <c r="F127" s="4">
        <v>4968</v>
      </c>
      <c r="G127" s="3">
        <v>74</v>
      </c>
      <c r="H127" s="3">
        <v>40</v>
      </c>
      <c r="I127" s="3">
        <v>12</v>
      </c>
      <c r="J127" s="3">
        <v>8</v>
      </c>
      <c r="K127" s="3">
        <v>4</v>
      </c>
      <c r="L127" s="3">
        <v>46</v>
      </c>
      <c r="M127" s="3">
        <f>118+118</f>
        <v>236</v>
      </c>
      <c r="N127" s="3">
        <v>14</v>
      </c>
      <c r="O127" s="3" t="s">
        <v>231</v>
      </c>
      <c r="P127" s="3" t="s">
        <v>228</v>
      </c>
      <c r="Q127" s="4">
        <f t="shared" si="7"/>
        <v>35520</v>
      </c>
      <c r="R127" s="3">
        <f t="shared" si="8"/>
        <v>2960</v>
      </c>
      <c r="S127" s="3">
        <f t="shared" si="9"/>
        <v>2</v>
      </c>
    </row>
    <row r="128" spans="1:19" ht="15" customHeight="1" x14ac:dyDescent="0.25">
      <c r="A128" s="1">
        <v>128</v>
      </c>
      <c r="B128" s="1" t="s">
        <v>232</v>
      </c>
      <c r="C128" s="3" t="s">
        <v>34</v>
      </c>
      <c r="D128" s="3" t="s">
        <v>233</v>
      </c>
      <c r="E128" s="3" t="s">
        <v>21</v>
      </c>
      <c r="F128" s="4">
        <f>_xlfn.FLOOR.MATH(2192*7,10)</f>
        <v>15340</v>
      </c>
      <c r="G128" s="3">
        <v>51</v>
      </c>
      <c r="H128" s="3">
        <v>79</v>
      </c>
      <c r="I128" s="3">
        <v>15</v>
      </c>
      <c r="J128" s="3">
        <v>8</v>
      </c>
      <c r="K128" s="3">
        <v>8</v>
      </c>
      <c r="L128" s="3">
        <v>35</v>
      </c>
      <c r="M128" s="3">
        <f>24+24</f>
        <v>48</v>
      </c>
      <c r="N128" s="4">
        <v>4</v>
      </c>
      <c r="O128" s="3" t="s">
        <v>22</v>
      </c>
      <c r="Q128" s="4">
        <f t="shared" si="7"/>
        <v>60435</v>
      </c>
      <c r="R128" s="3">
        <f t="shared" si="8"/>
        <v>4029</v>
      </c>
      <c r="S128" s="3">
        <f t="shared" si="9"/>
        <v>1</v>
      </c>
    </row>
    <row r="129" spans="1:19" ht="15" customHeight="1" x14ac:dyDescent="0.25">
      <c r="A129" s="1">
        <v>129</v>
      </c>
      <c r="B129" s="1" t="s">
        <v>234</v>
      </c>
      <c r="C129" s="3" t="s">
        <v>206</v>
      </c>
      <c r="D129" s="3" t="s">
        <v>235</v>
      </c>
      <c r="E129" s="3" t="s">
        <v>21</v>
      </c>
      <c r="F129" s="4">
        <f>5390+(5420*4)</f>
        <v>27070</v>
      </c>
      <c r="G129" s="3">
        <v>96</v>
      </c>
      <c r="H129" s="3">
        <v>96</v>
      </c>
      <c r="I129" s="3">
        <v>12</v>
      </c>
      <c r="J129" s="3">
        <f>1+4</f>
        <v>5</v>
      </c>
      <c r="K129" s="3">
        <v>4</v>
      </c>
      <c r="L129" s="3">
        <v>61</v>
      </c>
      <c r="M129" s="3">
        <f>108+92</f>
        <v>200</v>
      </c>
      <c r="N129" s="3">
        <f>N131+3</f>
        <v>11</v>
      </c>
      <c r="O129" s="3" t="s">
        <v>22</v>
      </c>
      <c r="Q129" s="4">
        <f t="shared" ref="Q129" si="10">G129*H129*I129</f>
        <v>110592</v>
      </c>
      <c r="R129" s="3">
        <f t="shared" si="8"/>
        <v>9216</v>
      </c>
      <c r="S129" s="3">
        <f t="shared" si="9"/>
        <v>3</v>
      </c>
    </row>
    <row r="130" spans="1:19" ht="15" customHeight="1" x14ac:dyDescent="0.25">
      <c r="A130" s="1">
        <v>130</v>
      </c>
      <c r="B130" s="1" t="s">
        <v>234</v>
      </c>
      <c r="C130" s="3" t="s">
        <v>206</v>
      </c>
      <c r="D130" s="3" t="s">
        <v>236</v>
      </c>
      <c r="E130" s="3" t="s">
        <v>21</v>
      </c>
      <c r="F130" s="4">
        <f>5390+(5420*4)</f>
        <v>27070</v>
      </c>
      <c r="G130" s="3">
        <f>_xlfn.CEILING.MATH(95/3,1)</f>
        <v>32</v>
      </c>
      <c r="H130" s="3">
        <v>95</v>
      </c>
      <c r="I130" s="3">
        <v>12</v>
      </c>
      <c r="J130" s="3">
        <f>1+4</f>
        <v>5</v>
      </c>
      <c r="K130" s="3">
        <v>4</v>
      </c>
      <c r="L130" s="3">
        <v>61</v>
      </c>
      <c r="M130" s="3">
        <f>_xlfn.CEILING.MATH((108+92)/3,1)</f>
        <v>67</v>
      </c>
      <c r="N130" s="3">
        <v>5</v>
      </c>
      <c r="O130" s="3" t="s">
        <v>22</v>
      </c>
      <c r="Q130" s="4">
        <f t="shared" si="7"/>
        <v>36480</v>
      </c>
      <c r="R130" s="3">
        <f t="shared" si="8"/>
        <v>3040</v>
      </c>
      <c r="S130" s="3">
        <f t="shared" ref="S130:S131" si="11">_xlfn.CEILING.MATH(IF(E130="ESS",R130/(G130*(H130/K130)),N130/J130))</f>
        <v>1</v>
      </c>
    </row>
    <row r="131" spans="1:19" ht="15" customHeight="1" x14ac:dyDescent="0.25">
      <c r="A131" s="1">
        <v>131</v>
      </c>
      <c r="B131" s="1" t="s">
        <v>234</v>
      </c>
      <c r="C131" s="3" t="s">
        <v>206</v>
      </c>
      <c r="D131" s="3" t="s">
        <v>237</v>
      </c>
      <c r="E131" s="3" t="s">
        <v>21</v>
      </c>
      <c r="F131" s="4">
        <f>5390+(5420*4)</f>
        <v>27070</v>
      </c>
      <c r="G131" s="3">
        <f>_xlfn.CEILING.MATH((95/3)*2,1)</f>
        <v>64</v>
      </c>
      <c r="H131" s="3">
        <v>95</v>
      </c>
      <c r="I131" s="3">
        <v>12</v>
      </c>
      <c r="J131" s="3">
        <f>1+4</f>
        <v>5</v>
      </c>
      <c r="K131" s="3">
        <v>4</v>
      </c>
      <c r="L131" s="3">
        <v>61</v>
      </c>
      <c r="M131" s="3">
        <f>_xlfn.CEILING.MATH(((108+92)/3)*2,1)</f>
        <v>134</v>
      </c>
      <c r="N131" s="3">
        <f>N130+3</f>
        <v>8</v>
      </c>
      <c r="O131" s="3" t="s">
        <v>22</v>
      </c>
      <c r="Q131" s="4">
        <f t="shared" ref="Q131:Q180" si="12">G131*H131*I131</f>
        <v>72960</v>
      </c>
      <c r="R131" s="3">
        <f t="shared" ref="R131:R180" si="13">G131*H131</f>
        <v>6080</v>
      </c>
      <c r="S131" s="3">
        <f t="shared" si="11"/>
        <v>2</v>
      </c>
    </row>
    <row r="132" spans="1:19" ht="15" customHeight="1" x14ac:dyDescent="0.25">
      <c r="A132" s="1">
        <v>132</v>
      </c>
      <c r="B132" s="1" t="s">
        <v>238</v>
      </c>
      <c r="C132" s="3" t="s">
        <v>206</v>
      </c>
      <c r="D132" s="3" t="s">
        <v>207</v>
      </c>
      <c r="E132" s="3" t="s">
        <v>21</v>
      </c>
      <c r="F132" s="4">
        <f>_xlfn.FLOOR.MATH((1002+(1077*2)),10)</f>
        <v>3150</v>
      </c>
      <c r="G132" s="3">
        <v>47</v>
      </c>
      <c r="H132" s="3">
        <v>42</v>
      </c>
      <c r="I132" s="3">
        <v>8</v>
      </c>
      <c r="J132" s="3">
        <f>1+2</f>
        <v>3</v>
      </c>
      <c r="K132" s="3">
        <v>3</v>
      </c>
      <c r="L132" s="3">
        <v>27</v>
      </c>
      <c r="M132" s="3">
        <f>40+40</f>
        <v>80</v>
      </c>
      <c r="N132" s="3">
        <v>4</v>
      </c>
      <c r="O132" s="3" t="s">
        <v>39</v>
      </c>
      <c r="P132" s="3" t="s">
        <v>208</v>
      </c>
      <c r="Q132" s="4">
        <f t="shared" si="12"/>
        <v>15792</v>
      </c>
      <c r="R132" s="3">
        <f t="shared" si="13"/>
        <v>1974</v>
      </c>
      <c r="S132" s="3">
        <f t="shared" ref="S132:S161" si="14">_xlfn.CEILING.MATH(IF(E132="ESS",R132/(G132*(H132/K132)),N132/J132))</f>
        <v>2</v>
      </c>
    </row>
    <row r="133" spans="1:19" ht="15" customHeight="1" x14ac:dyDescent="0.25">
      <c r="A133" s="1">
        <v>133</v>
      </c>
      <c r="B133" s="1" t="s">
        <v>81</v>
      </c>
      <c r="C133" s="3" t="s">
        <v>239</v>
      </c>
      <c r="D133" s="3" t="s">
        <v>240</v>
      </c>
      <c r="E133" s="3" t="s">
        <v>21</v>
      </c>
      <c r="F133" s="4">
        <v>14000</v>
      </c>
      <c r="G133" s="3">
        <v>47</v>
      </c>
      <c r="H133" s="3">
        <v>61</v>
      </c>
      <c r="I133" s="3">
        <v>8.5</v>
      </c>
      <c r="J133" s="3">
        <v>3</v>
      </c>
      <c r="K133" s="3">
        <v>4</v>
      </c>
      <c r="L133" s="3">
        <v>39</v>
      </c>
      <c r="M133" s="3">
        <f>65+130</f>
        <v>195</v>
      </c>
      <c r="N133" s="3">
        <v>10</v>
      </c>
      <c r="O133" s="3" t="s">
        <v>22</v>
      </c>
      <c r="P133" s="3" t="s">
        <v>241</v>
      </c>
      <c r="Q133" s="4">
        <f t="shared" si="12"/>
        <v>24369.5</v>
      </c>
      <c r="R133" s="3">
        <f t="shared" si="13"/>
        <v>2867</v>
      </c>
      <c r="S133" s="3">
        <f t="shared" si="14"/>
        <v>4</v>
      </c>
    </row>
    <row r="134" spans="1:19" ht="15" customHeight="1" x14ac:dyDescent="0.25">
      <c r="A134" s="1">
        <v>134</v>
      </c>
      <c r="B134" s="1" t="s">
        <v>102</v>
      </c>
      <c r="C134" s="3" t="s">
        <v>143</v>
      </c>
      <c r="D134" s="3" t="s">
        <v>104</v>
      </c>
      <c r="E134" s="3" t="s">
        <v>21</v>
      </c>
      <c r="F134" s="4">
        <v>2120</v>
      </c>
      <c r="G134" s="3">
        <v>35</v>
      </c>
      <c r="H134" s="3">
        <v>29</v>
      </c>
      <c r="I134" s="3">
        <v>14</v>
      </c>
      <c r="J134" s="3">
        <v>5</v>
      </c>
      <c r="K134" s="3">
        <v>3</v>
      </c>
      <c r="L134" s="3">
        <v>19</v>
      </c>
      <c r="M134" s="3">
        <f>33+66</f>
        <v>99</v>
      </c>
      <c r="N134" s="3">
        <v>6</v>
      </c>
      <c r="O134" s="3" t="s">
        <v>39</v>
      </c>
      <c r="P134" s="3" t="s">
        <v>105</v>
      </c>
      <c r="Q134" s="4">
        <f t="shared" si="12"/>
        <v>14210</v>
      </c>
      <c r="R134" s="3">
        <f t="shared" si="13"/>
        <v>1015</v>
      </c>
      <c r="S134" s="3">
        <f t="shared" si="14"/>
        <v>2</v>
      </c>
    </row>
    <row r="135" spans="1:19" ht="30" x14ac:dyDescent="0.25">
      <c r="A135" s="1">
        <v>135</v>
      </c>
      <c r="B135" s="1" t="s">
        <v>242</v>
      </c>
      <c r="C135" s="3" t="s">
        <v>243</v>
      </c>
      <c r="D135" s="3" t="s">
        <v>244</v>
      </c>
      <c r="E135" s="3" t="s">
        <v>21</v>
      </c>
      <c r="F135" s="4">
        <v>5830</v>
      </c>
      <c r="G135" s="3">
        <v>78</v>
      </c>
      <c r="H135" s="3">
        <v>36</v>
      </c>
      <c r="I135" s="3">
        <v>9.5</v>
      </c>
      <c r="J135" s="3">
        <v>5</v>
      </c>
      <c r="K135" s="3">
        <v>5</v>
      </c>
      <c r="L135" s="3">
        <v>51</v>
      </c>
      <c r="M135" s="3">
        <f>32+30</f>
        <v>62</v>
      </c>
      <c r="N135" s="3">
        <v>5</v>
      </c>
      <c r="O135" s="3" t="s">
        <v>22</v>
      </c>
      <c r="P135" s="6" t="s">
        <v>245</v>
      </c>
      <c r="Q135" s="4">
        <f t="shared" si="12"/>
        <v>26676</v>
      </c>
      <c r="R135" s="3">
        <f t="shared" si="13"/>
        <v>2808</v>
      </c>
      <c r="S135" s="3">
        <f t="shared" si="14"/>
        <v>1</v>
      </c>
    </row>
    <row r="136" spans="1:19" ht="30" x14ac:dyDescent="0.25">
      <c r="A136" s="1">
        <v>136</v>
      </c>
      <c r="B136" s="1" t="s">
        <v>242</v>
      </c>
      <c r="C136" s="3" t="s">
        <v>243</v>
      </c>
      <c r="D136" s="3" t="s">
        <v>244</v>
      </c>
      <c r="E136" s="3" t="s">
        <v>21</v>
      </c>
      <c r="F136" s="4">
        <v>9310</v>
      </c>
      <c r="G136" s="3">
        <v>81</v>
      </c>
      <c r="H136" s="3">
        <v>42</v>
      </c>
      <c r="I136" s="3">
        <v>9.5</v>
      </c>
      <c r="J136" s="3">
        <v>5</v>
      </c>
      <c r="K136" s="3">
        <v>6</v>
      </c>
      <c r="L136" s="3">
        <v>53</v>
      </c>
      <c r="M136" s="3">
        <f>17+70</f>
        <v>87</v>
      </c>
      <c r="N136" s="3">
        <v>9</v>
      </c>
      <c r="O136" s="3" t="s">
        <v>22</v>
      </c>
      <c r="P136" s="6" t="s">
        <v>245</v>
      </c>
      <c r="Q136" s="4">
        <f t="shared" si="12"/>
        <v>32319</v>
      </c>
      <c r="R136" s="3">
        <f t="shared" si="13"/>
        <v>3402</v>
      </c>
      <c r="S136" s="3">
        <f t="shared" si="14"/>
        <v>2</v>
      </c>
    </row>
    <row r="137" spans="1:19" ht="15" customHeight="1" x14ac:dyDescent="0.25">
      <c r="A137" s="1">
        <v>137</v>
      </c>
      <c r="B137" s="1" t="s">
        <v>177</v>
      </c>
      <c r="C137" s="3" t="s">
        <v>178</v>
      </c>
      <c r="D137" s="3" t="s">
        <v>179</v>
      </c>
      <c r="E137" s="3" t="s">
        <v>21</v>
      </c>
      <c r="F137" s="4">
        <f>_xlfn.FLOOR.MATH(114*8,10)</f>
        <v>910</v>
      </c>
      <c r="G137" s="3">
        <v>16</v>
      </c>
      <c r="H137" s="3">
        <v>16</v>
      </c>
      <c r="I137" s="3">
        <v>13</v>
      </c>
      <c r="J137" s="3">
        <v>9</v>
      </c>
      <c r="K137" s="3">
        <v>1</v>
      </c>
      <c r="L137" s="3">
        <v>13</v>
      </c>
      <c r="M137" s="3">
        <f>10/2+10/2</f>
        <v>10</v>
      </c>
      <c r="N137" s="3">
        <v>2</v>
      </c>
      <c r="O137" s="3" t="s">
        <v>22</v>
      </c>
      <c r="P137" s="3" t="s">
        <v>246</v>
      </c>
      <c r="Q137" s="4">
        <f t="shared" si="12"/>
        <v>3328</v>
      </c>
      <c r="R137" s="3">
        <f t="shared" si="13"/>
        <v>256</v>
      </c>
      <c r="S137" s="3">
        <f t="shared" si="14"/>
        <v>1</v>
      </c>
    </row>
    <row r="138" spans="1:19" ht="15" customHeight="1" x14ac:dyDescent="0.25">
      <c r="A138" s="1">
        <v>138</v>
      </c>
      <c r="B138" s="1" t="s">
        <v>177</v>
      </c>
      <c r="C138" s="3" t="s">
        <v>178</v>
      </c>
      <c r="D138" s="3" t="s">
        <v>179</v>
      </c>
      <c r="E138" s="3" t="s">
        <v>21</v>
      </c>
      <c r="F138" s="4">
        <f>_xlfn.FLOOR.MATH(75*8,10)</f>
        <v>600</v>
      </c>
      <c r="G138" s="3">
        <v>16</v>
      </c>
      <c r="H138" s="3">
        <v>12</v>
      </c>
      <c r="I138" s="3">
        <v>13</v>
      </c>
      <c r="J138" s="3">
        <v>9</v>
      </c>
      <c r="K138" s="3">
        <v>1</v>
      </c>
      <c r="L138" s="3">
        <v>13</v>
      </c>
      <c r="M138" s="3">
        <f>10/2+10/2</f>
        <v>10</v>
      </c>
      <c r="N138" s="3">
        <v>2</v>
      </c>
      <c r="O138" s="3" t="s">
        <v>22</v>
      </c>
      <c r="P138" s="3" t="s">
        <v>246</v>
      </c>
      <c r="Q138" s="4">
        <f t="shared" si="12"/>
        <v>2496</v>
      </c>
      <c r="R138" s="3">
        <f t="shared" si="13"/>
        <v>192</v>
      </c>
      <c r="S138" s="3">
        <f t="shared" si="14"/>
        <v>1</v>
      </c>
    </row>
    <row r="139" spans="1:19" ht="30" x14ac:dyDescent="0.25">
      <c r="A139" s="1">
        <v>139</v>
      </c>
      <c r="B139" s="1" t="s">
        <v>247</v>
      </c>
      <c r="C139" s="3" t="s">
        <v>100</v>
      </c>
      <c r="D139" s="3" t="s">
        <v>248</v>
      </c>
      <c r="E139" s="3" t="s">
        <v>21</v>
      </c>
      <c r="F139" s="4">
        <f>_xlfn.FLOOR.MATH(996*4,10)</f>
        <v>3980</v>
      </c>
      <c r="G139" s="3">
        <v>61</v>
      </c>
      <c r="H139" s="3">
        <v>25</v>
      </c>
      <c r="I139" s="3">
        <v>6.8</v>
      </c>
      <c r="J139" s="3">
        <v>4</v>
      </c>
      <c r="K139" s="3">
        <v>2</v>
      </c>
      <c r="L139" s="3">
        <v>41</v>
      </c>
      <c r="M139" s="3">
        <f>25+25</f>
        <v>50</v>
      </c>
      <c r="N139" s="3">
        <f>2+2</f>
        <v>4</v>
      </c>
      <c r="O139" s="3" t="s">
        <v>22</v>
      </c>
      <c r="P139" s="6" t="s">
        <v>249</v>
      </c>
      <c r="Q139" s="4">
        <f t="shared" si="12"/>
        <v>10370</v>
      </c>
      <c r="R139" s="3">
        <f t="shared" si="13"/>
        <v>1525</v>
      </c>
      <c r="S139" s="3">
        <f t="shared" si="14"/>
        <v>1</v>
      </c>
    </row>
    <row r="140" spans="1:19" ht="15" customHeight="1" x14ac:dyDescent="0.25">
      <c r="A140" s="1">
        <v>140</v>
      </c>
      <c r="B140" s="1" t="s">
        <v>250</v>
      </c>
      <c r="C140" s="3" t="s">
        <v>100</v>
      </c>
      <c r="D140" s="3" t="s">
        <v>251</v>
      </c>
      <c r="E140" s="3" t="s">
        <v>26</v>
      </c>
      <c r="F140" s="4">
        <f>_xlfn.FLOOR.MATH(432*4,10)</f>
        <v>1720</v>
      </c>
      <c r="G140" s="3">
        <v>24</v>
      </c>
      <c r="H140" s="3">
        <v>40</v>
      </c>
      <c r="I140" s="3">
        <v>8</v>
      </c>
      <c r="J140" s="3">
        <v>4</v>
      </c>
      <c r="K140" s="3">
        <v>1</v>
      </c>
      <c r="L140" s="3">
        <v>22</v>
      </c>
      <c r="M140" s="3">
        <f>23+40</f>
        <v>63</v>
      </c>
      <c r="N140" s="3">
        <f>1*J140</f>
        <v>4</v>
      </c>
      <c r="O140" s="3" t="s">
        <v>22</v>
      </c>
      <c r="P140" s="3" t="s">
        <v>252</v>
      </c>
      <c r="Q140" s="4">
        <f t="shared" si="12"/>
        <v>7680</v>
      </c>
      <c r="R140" s="3">
        <f t="shared" si="13"/>
        <v>960</v>
      </c>
      <c r="S140" s="3">
        <f t="shared" si="14"/>
        <v>1</v>
      </c>
    </row>
    <row r="141" spans="1:19" ht="15" customHeight="1" x14ac:dyDescent="0.25">
      <c r="A141" s="1">
        <v>141</v>
      </c>
      <c r="B141" s="1" t="s">
        <v>253</v>
      </c>
      <c r="C141" s="3" t="s">
        <v>254</v>
      </c>
      <c r="D141" s="3" t="s">
        <v>255</v>
      </c>
      <c r="E141" s="3" t="s">
        <v>21</v>
      </c>
      <c r="F141" s="4">
        <v>10000</v>
      </c>
      <c r="G141" s="3">
        <v>109</v>
      </c>
      <c r="H141" s="3">
        <v>48</v>
      </c>
      <c r="I141" s="3">
        <v>12</v>
      </c>
      <c r="J141" s="3">
        <v>5</v>
      </c>
      <c r="K141" s="3">
        <v>2</v>
      </c>
      <c r="L141" s="3">
        <v>75</v>
      </c>
      <c r="M141" s="3">
        <f>108+108</f>
        <v>216</v>
      </c>
      <c r="N141" s="3">
        <v>14</v>
      </c>
      <c r="O141" s="3" t="s">
        <v>22</v>
      </c>
      <c r="P141" s="3" t="s">
        <v>256</v>
      </c>
      <c r="Q141" s="4">
        <f t="shared" si="12"/>
        <v>62784</v>
      </c>
      <c r="R141" s="3">
        <f t="shared" si="13"/>
        <v>5232</v>
      </c>
      <c r="S141" s="3">
        <f t="shared" si="14"/>
        <v>3</v>
      </c>
    </row>
    <row r="142" spans="1:19" ht="15" customHeight="1" x14ac:dyDescent="0.25">
      <c r="A142" s="1">
        <v>142</v>
      </c>
      <c r="Q142" s="4">
        <f t="shared" si="12"/>
        <v>0</v>
      </c>
      <c r="R142" s="3">
        <f t="shared" si="13"/>
        <v>0</v>
      </c>
      <c r="S142" s="3" t="e">
        <f t="shared" si="14"/>
        <v>#DIV/0!</v>
      </c>
    </row>
    <row r="143" spans="1:19" ht="15" customHeight="1" x14ac:dyDescent="0.25">
      <c r="A143" s="1">
        <v>143</v>
      </c>
      <c r="Q143" s="4">
        <f t="shared" si="12"/>
        <v>0</v>
      </c>
      <c r="R143" s="3">
        <f t="shared" si="13"/>
        <v>0</v>
      </c>
      <c r="S143" s="3" t="e">
        <f t="shared" si="14"/>
        <v>#DIV/0!</v>
      </c>
    </row>
    <row r="144" spans="1:19" ht="15" customHeight="1" x14ac:dyDescent="0.25">
      <c r="A144" s="1">
        <v>144</v>
      </c>
      <c r="Q144" s="4">
        <f t="shared" si="12"/>
        <v>0</v>
      </c>
      <c r="R144" s="3">
        <f t="shared" si="13"/>
        <v>0</v>
      </c>
      <c r="S144" s="3" t="e">
        <f t="shared" si="14"/>
        <v>#DIV/0!</v>
      </c>
    </row>
    <row r="145" spans="1:19" ht="15" customHeight="1" x14ac:dyDescent="0.25">
      <c r="A145" s="1">
        <v>145</v>
      </c>
      <c r="Q145" s="4">
        <f t="shared" si="12"/>
        <v>0</v>
      </c>
      <c r="R145" s="3">
        <f t="shared" si="13"/>
        <v>0</v>
      </c>
      <c r="S145" s="3" t="e">
        <f t="shared" si="14"/>
        <v>#DIV/0!</v>
      </c>
    </row>
    <row r="146" spans="1:19" ht="15" customHeight="1" x14ac:dyDescent="0.25">
      <c r="A146" s="1">
        <v>146</v>
      </c>
      <c r="Q146" s="4">
        <f t="shared" si="12"/>
        <v>0</v>
      </c>
      <c r="R146" s="3">
        <f t="shared" si="13"/>
        <v>0</v>
      </c>
      <c r="S146" s="3" t="e">
        <f t="shared" si="14"/>
        <v>#DIV/0!</v>
      </c>
    </row>
    <row r="147" spans="1:19" ht="15" customHeight="1" x14ac:dyDescent="0.25">
      <c r="A147" s="1">
        <v>147</v>
      </c>
      <c r="Q147" s="4">
        <f t="shared" si="12"/>
        <v>0</v>
      </c>
      <c r="R147" s="3">
        <f t="shared" si="13"/>
        <v>0</v>
      </c>
      <c r="S147" s="3" t="e">
        <f t="shared" si="14"/>
        <v>#DIV/0!</v>
      </c>
    </row>
    <row r="148" spans="1:19" ht="15" customHeight="1" x14ac:dyDescent="0.25">
      <c r="A148" s="1">
        <v>148</v>
      </c>
      <c r="Q148" s="4">
        <f t="shared" si="12"/>
        <v>0</v>
      </c>
      <c r="R148" s="3">
        <f t="shared" si="13"/>
        <v>0</v>
      </c>
      <c r="S148" s="3" t="e">
        <f t="shared" si="14"/>
        <v>#DIV/0!</v>
      </c>
    </row>
    <row r="149" spans="1:19" ht="15" customHeight="1" x14ac:dyDescent="0.25">
      <c r="A149" s="1">
        <v>149</v>
      </c>
      <c r="Q149" s="4">
        <f t="shared" si="12"/>
        <v>0</v>
      </c>
      <c r="R149" s="3">
        <f t="shared" si="13"/>
        <v>0</v>
      </c>
      <c r="S149" s="3" t="e">
        <f t="shared" si="14"/>
        <v>#DIV/0!</v>
      </c>
    </row>
    <row r="150" spans="1:19" ht="15" customHeight="1" x14ac:dyDescent="0.25">
      <c r="A150" s="1">
        <v>150</v>
      </c>
      <c r="Q150" s="4">
        <f t="shared" si="12"/>
        <v>0</v>
      </c>
      <c r="R150" s="3">
        <f t="shared" si="13"/>
        <v>0</v>
      </c>
      <c r="S150" s="3" t="e">
        <f t="shared" si="14"/>
        <v>#DIV/0!</v>
      </c>
    </row>
    <row r="151" spans="1:19" ht="15" customHeight="1" x14ac:dyDescent="0.25">
      <c r="Q151" s="4">
        <f t="shared" si="12"/>
        <v>0</v>
      </c>
      <c r="R151" s="3">
        <f t="shared" si="13"/>
        <v>0</v>
      </c>
      <c r="S151" s="3" t="e">
        <f t="shared" si="14"/>
        <v>#DIV/0!</v>
      </c>
    </row>
    <row r="152" spans="1:19" ht="15" customHeight="1" x14ac:dyDescent="0.25">
      <c r="Q152" s="4">
        <f t="shared" si="12"/>
        <v>0</v>
      </c>
      <c r="R152" s="3">
        <f t="shared" si="13"/>
        <v>0</v>
      </c>
      <c r="S152" s="3" t="e">
        <f t="shared" si="14"/>
        <v>#DIV/0!</v>
      </c>
    </row>
    <row r="153" spans="1:19" ht="15" customHeight="1" x14ac:dyDescent="0.25">
      <c r="Q153" s="4">
        <f t="shared" si="12"/>
        <v>0</v>
      </c>
      <c r="R153" s="3">
        <f t="shared" si="13"/>
        <v>0</v>
      </c>
      <c r="S153" s="3" t="e">
        <f t="shared" si="14"/>
        <v>#DIV/0!</v>
      </c>
    </row>
    <row r="154" spans="1:19" ht="15" customHeight="1" x14ac:dyDescent="0.25">
      <c r="Q154" s="4">
        <f t="shared" si="12"/>
        <v>0</v>
      </c>
      <c r="R154" s="3">
        <f t="shared" si="13"/>
        <v>0</v>
      </c>
      <c r="S154" s="3" t="e">
        <f t="shared" si="14"/>
        <v>#DIV/0!</v>
      </c>
    </row>
    <row r="155" spans="1:19" ht="15" customHeight="1" x14ac:dyDescent="0.25">
      <c r="Q155" s="4">
        <f t="shared" si="12"/>
        <v>0</v>
      </c>
      <c r="R155" s="3">
        <f t="shared" si="13"/>
        <v>0</v>
      </c>
      <c r="S155" s="3" t="e">
        <f t="shared" si="14"/>
        <v>#DIV/0!</v>
      </c>
    </row>
    <row r="156" spans="1:19" ht="15" customHeight="1" x14ac:dyDescent="0.25">
      <c r="Q156" s="4">
        <f t="shared" si="12"/>
        <v>0</v>
      </c>
      <c r="R156" s="3">
        <f t="shared" si="13"/>
        <v>0</v>
      </c>
      <c r="S156" s="3" t="e">
        <f t="shared" si="14"/>
        <v>#DIV/0!</v>
      </c>
    </row>
    <row r="157" spans="1:19" ht="15" customHeight="1" x14ac:dyDescent="0.25">
      <c r="Q157" s="4">
        <f t="shared" si="12"/>
        <v>0</v>
      </c>
      <c r="R157" s="3">
        <f t="shared" si="13"/>
        <v>0</v>
      </c>
      <c r="S157" s="3" t="e">
        <f t="shared" si="14"/>
        <v>#DIV/0!</v>
      </c>
    </row>
    <row r="158" spans="1:19" ht="15" customHeight="1" x14ac:dyDescent="0.25">
      <c r="Q158" s="4">
        <f t="shared" si="12"/>
        <v>0</v>
      </c>
      <c r="R158" s="3">
        <f t="shared" si="13"/>
        <v>0</v>
      </c>
      <c r="S158" s="3" t="e">
        <f t="shared" si="14"/>
        <v>#DIV/0!</v>
      </c>
    </row>
    <row r="159" spans="1:19" ht="15" customHeight="1" x14ac:dyDescent="0.25">
      <c r="Q159" s="4">
        <f t="shared" si="12"/>
        <v>0</v>
      </c>
      <c r="R159" s="3">
        <f t="shared" si="13"/>
        <v>0</v>
      </c>
      <c r="S159" s="3" t="e">
        <f t="shared" si="14"/>
        <v>#DIV/0!</v>
      </c>
    </row>
    <row r="160" spans="1:19" ht="15" customHeight="1" x14ac:dyDescent="0.25">
      <c r="Q160" s="4">
        <f t="shared" si="12"/>
        <v>0</v>
      </c>
      <c r="R160" s="3">
        <f t="shared" si="13"/>
        <v>0</v>
      </c>
      <c r="S160" s="3" t="e">
        <f t="shared" si="14"/>
        <v>#DIV/0!</v>
      </c>
    </row>
    <row r="161" spans="17:19" ht="15" customHeight="1" x14ac:dyDescent="0.25">
      <c r="Q161" s="4">
        <f t="shared" si="12"/>
        <v>0</v>
      </c>
      <c r="R161" s="3">
        <f t="shared" si="13"/>
        <v>0</v>
      </c>
      <c r="S161" s="3" t="e">
        <f t="shared" si="14"/>
        <v>#DIV/0!</v>
      </c>
    </row>
    <row r="162" spans="17:19" ht="15" customHeight="1" x14ac:dyDescent="0.25">
      <c r="Q162" s="4">
        <f t="shared" si="12"/>
        <v>0</v>
      </c>
      <c r="R162" s="3">
        <f t="shared" si="13"/>
        <v>0</v>
      </c>
    </row>
    <row r="163" spans="17:19" ht="15" customHeight="1" x14ac:dyDescent="0.25">
      <c r="Q163" s="4">
        <f t="shared" si="12"/>
        <v>0</v>
      </c>
      <c r="R163" s="3">
        <f t="shared" si="13"/>
        <v>0</v>
      </c>
    </row>
    <row r="164" spans="17:19" ht="15" customHeight="1" x14ac:dyDescent="0.25">
      <c r="Q164" s="4">
        <f t="shared" si="12"/>
        <v>0</v>
      </c>
      <c r="R164" s="3">
        <f t="shared" si="13"/>
        <v>0</v>
      </c>
    </row>
    <row r="165" spans="17:19" ht="15" customHeight="1" x14ac:dyDescent="0.25">
      <c r="Q165" s="4">
        <f t="shared" si="12"/>
        <v>0</v>
      </c>
      <c r="R165" s="3">
        <f t="shared" si="13"/>
        <v>0</v>
      </c>
    </row>
    <row r="166" spans="17:19" ht="15" customHeight="1" x14ac:dyDescent="0.25">
      <c r="Q166" s="4">
        <f t="shared" si="12"/>
        <v>0</v>
      </c>
      <c r="R166" s="3">
        <f t="shared" si="13"/>
        <v>0</v>
      </c>
    </row>
    <row r="167" spans="17:19" ht="15" customHeight="1" x14ac:dyDescent="0.25">
      <c r="Q167" s="4">
        <f t="shared" si="12"/>
        <v>0</v>
      </c>
      <c r="R167" s="3">
        <f t="shared" si="13"/>
        <v>0</v>
      </c>
    </row>
    <row r="168" spans="17:19" ht="15" customHeight="1" x14ac:dyDescent="0.25">
      <c r="Q168" s="4">
        <f t="shared" si="12"/>
        <v>0</v>
      </c>
      <c r="R168" s="3">
        <f t="shared" si="13"/>
        <v>0</v>
      </c>
    </row>
    <row r="169" spans="17:19" ht="15" customHeight="1" x14ac:dyDescent="0.25">
      <c r="Q169" s="4">
        <f t="shared" si="12"/>
        <v>0</v>
      </c>
      <c r="R169" s="3">
        <f t="shared" si="13"/>
        <v>0</v>
      </c>
    </row>
    <row r="170" spans="17:19" ht="15" customHeight="1" x14ac:dyDescent="0.25">
      <c r="Q170" s="4">
        <f t="shared" si="12"/>
        <v>0</v>
      </c>
      <c r="R170" s="3">
        <f t="shared" si="13"/>
        <v>0</v>
      </c>
    </row>
    <row r="171" spans="17:19" ht="15" customHeight="1" x14ac:dyDescent="0.25">
      <c r="Q171" s="4">
        <f t="shared" si="12"/>
        <v>0</v>
      </c>
      <c r="R171" s="3">
        <f t="shared" si="13"/>
        <v>0</v>
      </c>
    </row>
    <row r="172" spans="17:19" ht="15" customHeight="1" x14ac:dyDescent="0.25">
      <c r="Q172" s="4">
        <f t="shared" si="12"/>
        <v>0</v>
      </c>
      <c r="R172" s="3">
        <f t="shared" si="13"/>
        <v>0</v>
      </c>
    </row>
    <row r="173" spans="17:19" ht="15" customHeight="1" x14ac:dyDescent="0.25">
      <c r="Q173" s="4">
        <f t="shared" si="12"/>
        <v>0</v>
      </c>
      <c r="R173" s="3">
        <f t="shared" si="13"/>
        <v>0</v>
      </c>
    </row>
    <row r="174" spans="17:19" ht="15" customHeight="1" x14ac:dyDescent="0.25">
      <c r="Q174" s="4">
        <f t="shared" si="12"/>
        <v>0</v>
      </c>
      <c r="R174" s="3">
        <f t="shared" si="13"/>
        <v>0</v>
      </c>
    </row>
    <row r="175" spans="17:19" ht="15" customHeight="1" x14ac:dyDescent="0.25">
      <c r="Q175" s="4">
        <f t="shared" si="12"/>
        <v>0</v>
      </c>
      <c r="R175" s="3">
        <f t="shared" si="13"/>
        <v>0</v>
      </c>
    </row>
    <row r="176" spans="17:19" ht="15" customHeight="1" x14ac:dyDescent="0.25">
      <c r="Q176" s="4">
        <f t="shared" si="12"/>
        <v>0</v>
      </c>
      <c r="R176" s="3">
        <f t="shared" si="13"/>
        <v>0</v>
      </c>
    </row>
    <row r="177" spans="17:18" ht="15" customHeight="1" x14ac:dyDescent="0.25">
      <c r="Q177" s="4">
        <f t="shared" si="12"/>
        <v>0</v>
      </c>
      <c r="R177" s="3">
        <f t="shared" si="13"/>
        <v>0</v>
      </c>
    </row>
    <row r="178" spans="17:18" ht="15" customHeight="1" x14ac:dyDescent="0.25">
      <c r="Q178" s="4">
        <f t="shared" si="12"/>
        <v>0</v>
      </c>
      <c r="R178" s="3">
        <f t="shared" si="13"/>
        <v>0</v>
      </c>
    </row>
    <row r="179" spans="17:18" ht="15" customHeight="1" x14ac:dyDescent="0.25">
      <c r="Q179" s="4">
        <f t="shared" si="12"/>
        <v>0</v>
      </c>
      <c r="R179" s="3">
        <f t="shared" si="13"/>
        <v>0</v>
      </c>
    </row>
    <row r="180" spans="17:18" ht="15" customHeight="1" x14ac:dyDescent="0.25">
      <c r="Q180" s="4">
        <f t="shared" si="12"/>
        <v>0</v>
      </c>
      <c r="R180" s="3">
        <f t="shared" si="13"/>
        <v>0</v>
      </c>
    </row>
  </sheetData>
  <autoFilter ref="A1:S180" xr:uid="{EF340493-9B50-45B2-BCA9-130A3623431E}">
    <filterColumn colId="3">
      <filters>
        <filter val="Vodafone"/>
      </filters>
    </filterColumn>
  </autoFilter>
  <phoneticPr fontId="2" type="noConversion"/>
  <pageMargins left="0.7" right="0.7" top="0.75" bottom="0.75" header="0.3" footer="0.3"/>
  <pageSetup paperSize="9" orientation="portrait" r:id="rId1"/>
  <ignoredErrors>
    <ignoredError sqref="M14:M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EFB6-095B-4D59-B611-7A24594F6371}">
  <sheetPr>
    <tabColor rgb="FFFF0000"/>
  </sheetPr>
  <dimension ref="B1:T14"/>
  <sheetViews>
    <sheetView zoomScaleNormal="100" workbookViewId="0">
      <selection activeCell="I20" sqref="I20"/>
    </sheetView>
  </sheetViews>
  <sheetFormatPr defaultRowHeight="15" x14ac:dyDescent="0.25"/>
  <cols>
    <col min="1" max="1" width="3.7109375" customWidth="1"/>
    <col min="2" max="2" width="24.28515625" bestFit="1" customWidth="1"/>
    <col min="3" max="3" width="18.7109375" bestFit="1" customWidth="1"/>
    <col min="4" max="6" width="5.7109375" bestFit="1" customWidth="1"/>
    <col min="7" max="19" width="7.7109375" bestFit="1" customWidth="1"/>
    <col min="20" max="20" width="18.28515625" bestFit="1" customWidth="1"/>
    <col min="21" max="25" width="8.28515625" bestFit="1" customWidth="1"/>
    <col min="26" max="26" width="17.28515625" bestFit="1" customWidth="1"/>
    <col min="27" max="28" width="8.28515625" bestFit="1" customWidth="1"/>
    <col min="29" max="30" width="17.28515625" bestFit="1" customWidth="1"/>
    <col min="31" max="31" width="3.28515625" bestFit="1" customWidth="1"/>
    <col min="32" max="32" width="4.28515625" bestFit="1" customWidth="1"/>
    <col min="33" max="33" width="3.28515625" bestFit="1" customWidth="1"/>
    <col min="34" max="38" width="4.28515625" bestFit="1" customWidth="1"/>
    <col min="39" max="42" width="3.28515625" bestFit="1" customWidth="1"/>
    <col min="43" max="44" width="4.28515625" bestFit="1" customWidth="1"/>
    <col min="45" max="46" width="3.28515625" bestFit="1" customWidth="1"/>
    <col min="47" max="47" width="2.140625" bestFit="1" customWidth="1"/>
    <col min="48" max="48" width="3.28515625" bestFit="1" customWidth="1"/>
    <col min="49" max="51" width="4.28515625" bestFit="1" customWidth="1"/>
    <col min="52" max="52" width="3.28515625" bestFit="1" customWidth="1"/>
    <col min="53" max="53" width="4.28515625" bestFit="1" customWidth="1"/>
    <col min="54" max="54" width="3.28515625" bestFit="1" customWidth="1"/>
    <col min="55" max="55" width="4.28515625" bestFit="1" customWidth="1"/>
    <col min="56" max="57" width="3.28515625" bestFit="1" customWidth="1"/>
    <col min="58" max="59" width="4.28515625" bestFit="1" customWidth="1"/>
    <col min="60" max="60" width="3.28515625" bestFit="1" customWidth="1"/>
    <col min="61" max="63" width="4.28515625" bestFit="1" customWidth="1"/>
    <col min="64" max="65" width="3.28515625" bestFit="1" customWidth="1"/>
    <col min="66" max="67" width="4.28515625" bestFit="1" customWidth="1"/>
    <col min="68" max="68" width="7.140625" bestFit="1" customWidth="1"/>
    <col min="69" max="69" width="17.28515625" bestFit="1" customWidth="1"/>
  </cols>
  <sheetData>
    <row r="1" spans="2:20" x14ac:dyDescent="0.25">
      <c r="B1" s="8" t="s">
        <v>3</v>
      </c>
      <c r="C1" t="s">
        <v>21</v>
      </c>
    </row>
    <row r="3" spans="2:20" x14ac:dyDescent="0.25">
      <c r="B3" s="8" t="s">
        <v>257</v>
      </c>
      <c r="C3" s="8" t="s">
        <v>258</v>
      </c>
    </row>
    <row r="4" spans="2:20" x14ac:dyDescent="0.25">
      <c r="B4" s="8" t="s">
        <v>259</v>
      </c>
      <c r="C4" t="s">
        <v>260</v>
      </c>
      <c r="D4" t="s">
        <v>261</v>
      </c>
      <c r="E4" t="s">
        <v>262</v>
      </c>
      <c r="F4" t="s">
        <v>263</v>
      </c>
      <c r="G4" t="s">
        <v>264</v>
      </c>
      <c r="H4" t="s">
        <v>265</v>
      </c>
      <c r="I4" t="s">
        <v>266</v>
      </c>
      <c r="J4" t="s">
        <v>267</v>
      </c>
      <c r="K4" t="s">
        <v>268</v>
      </c>
      <c r="L4" t="s">
        <v>269</v>
      </c>
      <c r="M4" t="s">
        <v>270</v>
      </c>
      <c r="N4" t="s">
        <v>271</v>
      </c>
      <c r="O4" t="s">
        <v>272</v>
      </c>
      <c r="P4" t="s">
        <v>273</v>
      </c>
      <c r="Q4" t="s">
        <v>274</v>
      </c>
      <c r="R4" t="s">
        <v>275</v>
      </c>
      <c r="S4" t="s">
        <v>276</v>
      </c>
      <c r="T4" t="s">
        <v>277</v>
      </c>
    </row>
    <row r="5" spans="2:20" x14ac:dyDescent="0.25">
      <c r="B5" s="28" t="s">
        <v>278</v>
      </c>
      <c r="C5" s="29">
        <v>1</v>
      </c>
      <c r="D5" s="29">
        <v>1</v>
      </c>
      <c r="E5" s="29">
        <v>1.3333333333333333</v>
      </c>
      <c r="F5" s="29">
        <v>1.6</v>
      </c>
      <c r="G5" s="29">
        <v>1.4545454545454546</v>
      </c>
      <c r="H5" s="29">
        <v>1</v>
      </c>
      <c r="I5" s="29">
        <v>3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>
        <v>1.3191489361702127</v>
      </c>
    </row>
    <row r="6" spans="2:20" x14ac:dyDescent="0.25">
      <c r="B6" s="28" t="s">
        <v>279</v>
      </c>
      <c r="C6" s="29"/>
      <c r="D6" s="29">
        <v>1</v>
      </c>
      <c r="E6" s="29">
        <v>1</v>
      </c>
      <c r="F6" s="29">
        <v>2</v>
      </c>
      <c r="G6" s="29">
        <v>1.6666666666666667</v>
      </c>
      <c r="H6" s="29"/>
      <c r="I6" s="29">
        <v>2</v>
      </c>
      <c r="J6" s="29">
        <v>4</v>
      </c>
      <c r="K6" s="29"/>
      <c r="L6" s="29">
        <v>2</v>
      </c>
      <c r="M6" s="29">
        <v>2</v>
      </c>
      <c r="N6" s="29"/>
      <c r="O6" s="29"/>
      <c r="P6" s="29">
        <v>5.333333333333333</v>
      </c>
      <c r="Q6" s="29"/>
      <c r="R6" s="29"/>
      <c r="S6" s="29"/>
      <c r="T6" s="29">
        <v>2.4117647058823528</v>
      </c>
    </row>
    <row r="7" spans="2:20" x14ac:dyDescent="0.25">
      <c r="B7" s="28" t="s">
        <v>280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/>
      <c r="I7" s="29">
        <v>2</v>
      </c>
      <c r="J7" s="29"/>
      <c r="K7" s="29">
        <v>3</v>
      </c>
      <c r="L7" s="29"/>
      <c r="M7" s="29"/>
      <c r="N7" s="29"/>
      <c r="O7" s="29"/>
      <c r="P7" s="29"/>
      <c r="Q7" s="29"/>
      <c r="R7" s="29"/>
      <c r="S7" s="29">
        <v>3</v>
      </c>
      <c r="T7" s="29">
        <v>1.625</v>
      </c>
    </row>
    <row r="8" spans="2:20" x14ac:dyDescent="0.25">
      <c r="B8" s="28" t="s">
        <v>281</v>
      </c>
      <c r="C8" s="29"/>
      <c r="D8" s="29"/>
      <c r="E8" s="29">
        <v>1.5</v>
      </c>
      <c r="F8" s="29">
        <v>1</v>
      </c>
      <c r="G8" s="29">
        <v>1.6666666666666667</v>
      </c>
      <c r="H8" s="29">
        <v>2</v>
      </c>
      <c r="I8" s="29">
        <v>3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>
        <v>2</v>
      </c>
    </row>
    <row r="9" spans="2:20" x14ac:dyDescent="0.25">
      <c r="B9" s="28" t="s">
        <v>282</v>
      </c>
      <c r="C9" s="29"/>
      <c r="D9" s="29"/>
      <c r="E9" s="29"/>
      <c r="F9" s="29"/>
      <c r="G9" s="29"/>
      <c r="H9" s="29"/>
      <c r="I9" s="29"/>
      <c r="J9" s="29"/>
      <c r="K9" s="29">
        <v>3</v>
      </c>
      <c r="L9" s="29"/>
      <c r="M9" s="29"/>
      <c r="N9" s="29"/>
      <c r="O9" s="29"/>
      <c r="P9" s="29">
        <v>2</v>
      </c>
      <c r="Q9" s="29"/>
      <c r="R9" s="29">
        <v>8</v>
      </c>
      <c r="S9" s="29">
        <v>5</v>
      </c>
      <c r="T9" s="29">
        <v>4.2</v>
      </c>
    </row>
    <row r="10" spans="2:20" x14ac:dyDescent="0.25">
      <c r="B10" s="28" t="s">
        <v>283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>
        <v>3</v>
      </c>
      <c r="O10" s="29"/>
      <c r="P10" s="29"/>
      <c r="Q10" s="29"/>
      <c r="R10" s="29"/>
      <c r="S10" s="29"/>
      <c r="T10" s="29">
        <v>3</v>
      </c>
    </row>
    <row r="11" spans="2:20" x14ac:dyDescent="0.25">
      <c r="B11" s="28" t="s">
        <v>284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>
        <v>11</v>
      </c>
      <c r="R11" s="29"/>
      <c r="S11" s="29"/>
      <c r="T11" s="29">
        <v>11</v>
      </c>
    </row>
    <row r="12" spans="2:20" x14ac:dyDescent="0.25">
      <c r="B12" s="28" t="s">
        <v>285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>
        <v>11</v>
      </c>
      <c r="R12" s="29"/>
      <c r="S12" s="29"/>
      <c r="T12" s="29">
        <v>11</v>
      </c>
    </row>
    <row r="13" spans="2:20" x14ac:dyDescent="0.25">
      <c r="B13" s="28" t="s">
        <v>286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>
        <v>6</v>
      </c>
      <c r="P13" s="29"/>
      <c r="Q13" s="29"/>
      <c r="R13" s="29"/>
      <c r="S13" s="29"/>
      <c r="T13" s="29">
        <v>6</v>
      </c>
    </row>
    <row r="14" spans="2:20" x14ac:dyDescent="0.25">
      <c r="B14" s="28" t="s">
        <v>277</v>
      </c>
      <c r="C14" s="29">
        <v>1</v>
      </c>
      <c r="D14" s="29">
        <v>1</v>
      </c>
      <c r="E14" s="29">
        <v>1.25</v>
      </c>
      <c r="F14" s="29">
        <v>1.5384615384615385</v>
      </c>
      <c r="G14" s="29">
        <v>1.5</v>
      </c>
      <c r="H14" s="29">
        <v>1.25</v>
      </c>
      <c r="I14" s="29">
        <v>2.5714285714285716</v>
      </c>
      <c r="J14" s="29">
        <v>4</v>
      </c>
      <c r="K14" s="29">
        <v>3</v>
      </c>
      <c r="L14" s="29">
        <v>2</v>
      </c>
      <c r="M14" s="29">
        <v>2</v>
      </c>
      <c r="N14" s="29">
        <v>3</v>
      </c>
      <c r="O14" s="29">
        <v>6</v>
      </c>
      <c r="P14" s="29">
        <v>4.5</v>
      </c>
      <c r="Q14" s="29">
        <v>11</v>
      </c>
      <c r="R14" s="29">
        <v>8</v>
      </c>
      <c r="S14" s="29">
        <v>4</v>
      </c>
      <c r="T14" s="29">
        <v>2.0659340659340661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F210-9AD9-4354-A1F5-6CE7E37976EC}">
  <sheetPr>
    <tabColor rgb="FFFF0000"/>
  </sheetPr>
  <dimension ref="B1:K20"/>
  <sheetViews>
    <sheetView zoomScaleNormal="100" workbookViewId="0">
      <selection activeCell="G14" sqref="G14"/>
    </sheetView>
  </sheetViews>
  <sheetFormatPr defaultRowHeight="15" x14ac:dyDescent="0.25"/>
  <cols>
    <col min="1" max="1" width="3.7109375" customWidth="1"/>
    <col min="2" max="2" width="24.28515625" bestFit="1" customWidth="1"/>
    <col min="3" max="3" width="12.42578125" bestFit="1" customWidth="1"/>
    <col min="4" max="4" width="4.7109375" bestFit="1" customWidth="1"/>
    <col min="5" max="10" width="5.7109375" bestFit="1" customWidth="1"/>
    <col min="11" max="11" width="18.28515625" bestFit="1" customWidth="1"/>
    <col min="12" max="16" width="5.7109375" bestFit="1" customWidth="1"/>
    <col min="17" max="17" width="18.28515625" bestFit="1" customWidth="1"/>
    <col min="18" max="18" width="7.28515625" bestFit="1" customWidth="1"/>
    <col min="19" max="19" width="18.28515625" bestFit="1" customWidth="1"/>
    <col min="20" max="23" width="5.7109375" bestFit="1" customWidth="1"/>
    <col min="24" max="24" width="18.28515625" bestFit="1" customWidth="1"/>
    <col min="25" max="25" width="5" bestFit="1" customWidth="1"/>
    <col min="26" max="28" width="3" bestFit="1" customWidth="1"/>
    <col min="29" max="29" width="5" bestFit="1" customWidth="1"/>
    <col min="30" max="32" width="3" bestFit="1" customWidth="1"/>
    <col min="33" max="33" width="18.28515625" bestFit="1" customWidth="1"/>
    <col min="34" max="38" width="4.28515625" bestFit="1" customWidth="1"/>
    <col min="39" max="42" width="3.28515625" bestFit="1" customWidth="1"/>
    <col min="43" max="44" width="4.28515625" bestFit="1" customWidth="1"/>
    <col min="45" max="46" width="3.28515625" bestFit="1" customWidth="1"/>
    <col min="47" max="47" width="2.140625" bestFit="1" customWidth="1"/>
    <col min="48" max="48" width="3.28515625" bestFit="1" customWidth="1"/>
    <col min="49" max="51" width="4.28515625" bestFit="1" customWidth="1"/>
    <col min="52" max="52" width="3.28515625" bestFit="1" customWidth="1"/>
    <col min="53" max="53" width="4.28515625" bestFit="1" customWidth="1"/>
    <col min="54" max="54" width="3.28515625" bestFit="1" customWidth="1"/>
    <col min="55" max="55" width="4.28515625" bestFit="1" customWidth="1"/>
    <col min="56" max="57" width="3.28515625" bestFit="1" customWidth="1"/>
    <col min="58" max="59" width="4.28515625" bestFit="1" customWidth="1"/>
    <col min="60" max="60" width="3.28515625" bestFit="1" customWidth="1"/>
    <col min="61" max="63" width="4.28515625" bestFit="1" customWidth="1"/>
    <col min="64" max="65" width="3.28515625" bestFit="1" customWidth="1"/>
    <col min="66" max="67" width="4.28515625" bestFit="1" customWidth="1"/>
    <col min="68" max="68" width="7.140625" bestFit="1" customWidth="1"/>
    <col min="69" max="69" width="17.28515625" bestFit="1" customWidth="1"/>
  </cols>
  <sheetData>
    <row r="1" spans="2:11" x14ac:dyDescent="0.25">
      <c r="B1" s="8" t="s">
        <v>3</v>
      </c>
      <c r="C1" t="s">
        <v>21</v>
      </c>
    </row>
    <row r="3" spans="2:11" x14ac:dyDescent="0.25">
      <c r="B3" s="8" t="s">
        <v>257</v>
      </c>
      <c r="C3" s="8" t="s">
        <v>287</v>
      </c>
    </row>
    <row r="4" spans="2:11" x14ac:dyDescent="0.25">
      <c r="B4" s="8" t="s">
        <v>288</v>
      </c>
      <c r="C4" t="s">
        <v>289</v>
      </c>
      <c r="D4" t="s">
        <v>290</v>
      </c>
      <c r="E4" t="s">
        <v>291</v>
      </c>
      <c r="F4" t="s">
        <v>292</v>
      </c>
      <c r="G4" t="s">
        <v>293</v>
      </c>
      <c r="H4" t="s">
        <v>294</v>
      </c>
      <c r="I4" t="s">
        <v>295</v>
      </c>
      <c r="J4" t="s">
        <v>296</v>
      </c>
      <c r="K4" t="s">
        <v>277</v>
      </c>
    </row>
    <row r="5" spans="2:11" x14ac:dyDescent="0.25">
      <c r="B5" s="28" t="s">
        <v>297</v>
      </c>
      <c r="C5" s="29"/>
      <c r="D5" s="29"/>
      <c r="E5" s="29">
        <v>1</v>
      </c>
      <c r="F5" s="29"/>
      <c r="G5" s="29"/>
      <c r="H5" s="29"/>
      <c r="I5" s="29"/>
      <c r="J5" s="29"/>
      <c r="K5" s="29">
        <v>1</v>
      </c>
    </row>
    <row r="6" spans="2:11" x14ac:dyDescent="0.25">
      <c r="B6" s="28" t="s">
        <v>298</v>
      </c>
      <c r="C6" s="29">
        <v>1.5</v>
      </c>
      <c r="D6" s="29"/>
      <c r="E6" s="29">
        <v>1.3333333333333333</v>
      </c>
      <c r="F6" s="29">
        <v>1</v>
      </c>
      <c r="G6" s="29">
        <v>1</v>
      </c>
      <c r="H6" s="29"/>
      <c r="I6" s="29"/>
      <c r="J6" s="29"/>
      <c r="K6" s="29">
        <v>1.2</v>
      </c>
    </row>
    <row r="7" spans="2:11" x14ac:dyDescent="0.25">
      <c r="B7" s="28" t="s">
        <v>299</v>
      </c>
      <c r="C7" s="29"/>
      <c r="D7" s="29">
        <v>2</v>
      </c>
      <c r="E7" s="29">
        <v>1.3333333333333333</v>
      </c>
      <c r="F7" s="29"/>
      <c r="G7" s="29"/>
      <c r="H7" s="29"/>
      <c r="I7" s="29"/>
      <c r="J7" s="29"/>
      <c r="K7" s="29">
        <v>1.4285714285714286</v>
      </c>
    </row>
    <row r="8" spans="2:11" x14ac:dyDescent="0.25">
      <c r="B8" s="28" t="s">
        <v>300</v>
      </c>
      <c r="C8" s="29">
        <v>1</v>
      </c>
      <c r="D8" s="29">
        <v>2</v>
      </c>
      <c r="E8" s="29">
        <v>1.125</v>
      </c>
      <c r="F8" s="29"/>
      <c r="G8" s="29"/>
      <c r="H8" s="29"/>
      <c r="I8" s="29"/>
      <c r="J8" s="29"/>
      <c r="K8" s="29">
        <v>1.4666666666666666</v>
      </c>
    </row>
    <row r="9" spans="2:11" x14ac:dyDescent="0.25">
      <c r="B9" s="28" t="s">
        <v>301</v>
      </c>
      <c r="C9" s="29"/>
      <c r="D9" s="29"/>
      <c r="E9" s="29">
        <v>2</v>
      </c>
      <c r="F9" s="29">
        <v>1</v>
      </c>
      <c r="G9" s="29">
        <v>2</v>
      </c>
      <c r="H9" s="29"/>
      <c r="I9" s="29">
        <v>1</v>
      </c>
      <c r="J9" s="29">
        <v>3</v>
      </c>
      <c r="K9" s="29">
        <v>1.5555555555555556</v>
      </c>
    </row>
    <row r="10" spans="2:11" x14ac:dyDescent="0.25">
      <c r="B10" s="28" t="s">
        <v>302</v>
      </c>
      <c r="C10" s="29"/>
      <c r="D10" s="29">
        <v>1</v>
      </c>
      <c r="E10" s="29">
        <v>1.8571428571428572</v>
      </c>
      <c r="F10" s="29">
        <v>1</v>
      </c>
      <c r="G10" s="29">
        <v>2</v>
      </c>
      <c r="H10" s="29">
        <v>1</v>
      </c>
      <c r="I10" s="29"/>
      <c r="J10" s="29"/>
      <c r="K10" s="29">
        <v>1.5833333333333333</v>
      </c>
    </row>
    <row r="11" spans="2:11" x14ac:dyDescent="0.25">
      <c r="B11" s="28" t="s">
        <v>303</v>
      </c>
      <c r="C11" s="29"/>
      <c r="D11" s="29">
        <v>2</v>
      </c>
      <c r="E11" s="29">
        <v>1.3333333333333333</v>
      </c>
      <c r="F11" s="29"/>
      <c r="G11" s="29">
        <v>3.5</v>
      </c>
      <c r="H11" s="29"/>
      <c r="I11" s="29"/>
      <c r="J11" s="29"/>
      <c r="K11" s="29">
        <v>1.9</v>
      </c>
    </row>
    <row r="12" spans="2:11" x14ac:dyDescent="0.25">
      <c r="B12" s="28" t="s">
        <v>304</v>
      </c>
      <c r="C12" s="29"/>
      <c r="D12" s="29">
        <v>2</v>
      </c>
      <c r="E12" s="29">
        <v>1</v>
      </c>
      <c r="F12" s="29">
        <v>6</v>
      </c>
      <c r="G12" s="29"/>
      <c r="H12" s="29"/>
      <c r="I12" s="29"/>
      <c r="J12" s="29"/>
      <c r="K12" s="29">
        <v>3</v>
      </c>
    </row>
    <row r="13" spans="2:11" x14ac:dyDescent="0.25">
      <c r="B13" s="28" t="s">
        <v>305</v>
      </c>
      <c r="C13" s="29"/>
      <c r="D13" s="29"/>
      <c r="E13" s="29">
        <v>2.4</v>
      </c>
      <c r="F13" s="29">
        <v>5</v>
      </c>
      <c r="G13" s="29"/>
      <c r="H13" s="29"/>
      <c r="I13" s="29"/>
      <c r="J13" s="29"/>
      <c r="K13" s="29">
        <v>2.8333333333333335</v>
      </c>
    </row>
    <row r="14" spans="2:11" x14ac:dyDescent="0.25">
      <c r="B14" s="28" t="s">
        <v>306</v>
      </c>
      <c r="C14" s="29"/>
      <c r="D14" s="29"/>
      <c r="E14" s="29">
        <v>3</v>
      </c>
      <c r="F14" s="29"/>
      <c r="G14" s="29"/>
      <c r="H14" s="29"/>
      <c r="I14" s="29"/>
      <c r="J14" s="29"/>
      <c r="K14" s="29">
        <v>3</v>
      </c>
    </row>
    <row r="15" spans="2:11" x14ac:dyDescent="0.25">
      <c r="B15" s="28" t="s">
        <v>307</v>
      </c>
      <c r="C15" s="29"/>
      <c r="D15" s="29">
        <v>4</v>
      </c>
      <c r="E15" s="29"/>
      <c r="F15" s="29"/>
      <c r="G15" s="29"/>
      <c r="H15" s="29"/>
      <c r="I15" s="29"/>
      <c r="J15" s="29">
        <v>2</v>
      </c>
      <c r="K15" s="29">
        <v>3.3333333333333335</v>
      </c>
    </row>
    <row r="16" spans="2:11" x14ac:dyDescent="0.25">
      <c r="B16" s="28" t="s">
        <v>308</v>
      </c>
      <c r="C16" s="29"/>
      <c r="D16" s="29"/>
      <c r="E16" s="29"/>
      <c r="F16" s="29">
        <v>1</v>
      </c>
      <c r="G16" s="29"/>
      <c r="H16" s="29"/>
      <c r="I16" s="29"/>
      <c r="J16" s="29"/>
      <c r="K16" s="29">
        <v>1</v>
      </c>
    </row>
    <row r="17" spans="2:11" x14ac:dyDescent="0.25">
      <c r="B17" s="28" t="s">
        <v>309</v>
      </c>
      <c r="C17" s="29"/>
      <c r="D17" s="29"/>
      <c r="E17" s="29"/>
      <c r="F17" s="29"/>
      <c r="G17" s="29">
        <v>3</v>
      </c>
      <c r="H17" s="29"/>
      <c r="I17" s="29"/>
      <c r="J17" s="29"/>
      <c r="K17" s="29">
        <v>3</v>
      </c>
    </row>
    <row r="18" spans="2:11" x14ac:dyDescent="0.25">
      <c r="B18" s="28" t="s">
        <v>310</v>
      </c>
      <c r="C18" s="29"/>
      <c r="D18" s="29">
        <v>11</v>
      </c>
      <c r="E18" s="29"/>
      <c r="F18" s="29"/>
      <c r="G18" s="29"/>
      <c r="H18" s="29"/>
      <c r="I18" s="29"/>
      <c r="J18" s="29"/>
      <c r="K18" s="29">
        <v>11</v>
      </c>
    </row>
    <row r="19" spans="2:11" x14ac:dyDescent="0.25">
      <c r="B19" s="28" t="s">
        <v>311</v>
      </c>
      <c r="C19" s="29"/>
      <c r="D19" s="29"/>
      <c r="E19" s="29">
        <v>6</v>
      </c>
      <c r="F19" s="29"/>
      <c r="G19" s="29"/>
      <c r="H19" s="29"/>
      <c r="I19" s="29"/>
      <c r="J19" s="29"/>
      <c r="K19" s="29">
        <v>6</v>
      </c>
    </row>
    <row r="20" spans="2:11" x14ac:dyDescent="0.25">
      <c r="B20" s="28" t="s">
        <v>277</v>
      </c>
      <c r="C20" s="29">
        <v>1.3333333333333333</v>
      </c>
      <c r="D20" s="29">
        <v>3.25</v>
      </c>
      <c r="E20" s="29">
        <v>1.7083333333333333</v>
      </c>
      <c r="F20" s="29">
        <v>2.2999999999999998</v>
      </c>
      <c r="G20" s="29">
        <v>2</v>
      </c>
      <c r="H20" s="29">
        <v>1</v>
      </c>
      <c r="I20" s="29">
        <v>1</v>
      </c>
      <c r="J20" s="29">
        <v>2.5</v>
      </c>
      <c r="K20" s="29">
        <v>2.0659340659340661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DEE3-60A9-4938-A372-50470106E18D}">
  <sheetPr>
    <tabColor rgb="FFFF0000"/>
  </sheetPr>
  <dimension ref="B1:N20"/>
  <sheetViews>
    <sheetView zoomScaleNormal="100" workbookViewId="0">
      <selection activeCell="K15" sqref="K15"/>
    </sheetView>
  </sheetViews>
  <sheetFormatPr defaultRowHeight="15" x14ac:dyDescent="0.25"/>
  <cols>
    <col min="1" max="1" width="3.7109375" customWidth="1"/>
    <col min="2" max="2" width="24.28515625" bestFit="1" customWidth="1"/>
    <col min="3" max="3" width="12.140625" bestFit="1" customWidth="1"/>
    <col min="4" max="11" width="5.7109375" bestFit="1" customWidth="1"/>
    <col min="12" max="12" width="6.7109375" bestFit="1" customWidth="1"/>
    <col min="13" max="13" width="7.7109375" bestFit="1" customWidth="1"/>
    <col min="14" max="14" width="18.28515625" bestFit="1" customWidth="1"/>
    <col min="15" max="45" width="3" bestFit="1" customWidth="1"/>
    <col min="46" max="51" width="4" bestFit="1" customWidth="1"/>
    <col min="52" max="52" width="18.28515625" bestFit="1" customWidth="1"/>
    <col min="53" max="53" width="4.28515625" bestFit="1" customWidth="1"/>
    <col min="54" max="54" width="3.28515625" bestFit="1" customWidth="1"/>
    <col min="55" max="55" width="4.28515625" bestFit="1" customWidth="1"/>
    <col min="56" max="57" width="3.28515625" bestFit="1" customWidth="1"/>
    <col min="58" max="59" width="4.28515625" bestFit="1" customWidth="1"/>
    <col min="60" max="60" width="3.28515625" bestFit="1" customWidth="1"/>
    <col min="61" max="63" width="4.28515625" bestFit="1" customWidth="1"/>
    <col min="64" max="65" width="3.28515625" bestFit="1" customWidth="1"/>
    <col min="66" max="67" width="4.28515625" bestFit="1" customWidth="1"/>
    <col min="68" max="68" width="7.140625" bestFit="1" customWidth="1"/>
    <col min="69" max="69" width="17.28515625" bestFit="1" customWidth="1"/>
  </cols>
  <sheetData>
    <row r="1" spans="2:14" x14ac:dyDescent="0.25">
      <c r="B1" s="8" t="s">
        <v>3</v>
      </c>
      <c r="C1" t="s">
        <v>21</v>
      </c>
    </row>
    <row r="3" spans="2:14" x14ac:dyDescent="0.25">
      <c r="B3" s="8" t="s">
        <v>257</v>
      </c>
      <c r="C3" s="8" t="s">
        <v>312</v>
      </c>
    </row>
    <row r="4" spans="2:14" x14ac:dyDescent="0.25">
      <c r="B4" s="8" t="s">
        <v>288</v>
      </c>
      <c r="C4" t="s">
        <v>313</v>
      </c>
      <c r="D4" t="s">
        <v>314</v>
      </c>
      <c r="E4" t="s">
        <v>315</v>
      </c>
      <c r="F4" t="s">
        <v>316</v>
      </c>
      <c r="G4" t="s">
        <v>317</v>
      </c>
      <c r="H4" t="s">
        <v>318</v>
      </c>
      <c r="I4" t="s">
        <v>319</v>
      </c>
      <c r="J4" t="s">
        <v>320</v>
      </c>
      <c r="K4" t="s">
        <v>321</v>
      </c>
      <c r="L4" t="s">
        <v>322</v>
      </c>
      <c r="M4" t="s">
        <v>323</v>
      </c>
      <c r="N4" t="s">
        <v>277</v>
      </c>
    </row>
    <row r="5" spans="2:14" x14ac:dyDescent="0.25">
      <c r="B5" s="28" t="s">
        <v>297</v>
      </c>
      <c r="C5" s="29">
        <v>1</v>
      </c>
      <c r="D5" s="29">
        <v>1</v>
      </c>
      <c r="E5" s="29"/>
      <c r="F5" s="29">
        <v>1</v>
      </c>
      <c r="G5" s="29"/>
      <c r="H5" s="29"/>
      <c r="I5" s="29"/>
      <c r="J5" s="29"/>
      <c r="K5" s="29"/>
      <c r="L5" s="29"/>
      <c r="M5" s="29"/>
      <c r="N5" s="29">
        <v>1</v>
      </c>
    </row>
    <row r="6" spans="2:14" x14ac:dyDescent="0.25">
      <c r="B6" s="28" t="s">
        <v>298</v>
      </c>
      <c r="C6" s="29">
        <v>2</v>
      </c>
      <c r="D6" s="29">
        <v>1.5</v>
      </c>
      <c r="E6" s="29">
        <v>1</v>
      </c>
      <c r="F6" s="29"/>
      <c r="G6" s="29">
        <v>1</v>
      </c>
      <c r="H6" s="29">
        <v>1</v>
      </c>
      <c r="I6" s="29"/>
      <c r="J6" s="29"/>
      <c r="K6" s="29"/>
      <c r="L6" s="29"/>
      <c r="M6" s="29"/>
      <c r="N6" s="29">
        <v>1.2</v>
      </c>
    </row>
    <row r="7" spans="2:14" x14ac:dyDescent="0.25">
      <c r="B7" s="28" t="s">
        <v>299</v>
      </c>
      <c r="C7" s="29">
        <v>1</v>
      </c>
      <c r="D7" s="29">
        <v>1</v>
      </c>
      <c r="E7" s="29">
        <v>1.75</v>
      </c>
      <c r="F7" s="29"/>
      <c r="G7" s="29"/>
      <c r="H7" s="29"/>
      <c r="I7" s="29"/>
      <c r="J7" s="29"/>
      <c r="K7" s="29">
        <v>1</v>
      </c>
      <c r="L7" s="29"/>
      <c r="M7" s="29"/>
      <c r="N7" s="29">
        <v>1.4285714285714286</v>
      </c>
    </row>
    <row r="8" spans="2:14" x14ac:dyDescent="0.25">
      <c r="B8" s="28" t="s">
        <v>300</v>
      </c>
      <c r="C8" s="29"/>
      <c r="D8" s="29">
        <v>1</v>
      </c>
      <c r="E8" s="29">
        <v>1</v>
      </c>
      <c r="F8" s="29">
        <v>1.5714285714285714</v>
      </c>
      <c r="G8" s="29"/>
      <c r="H8" s="29">
        <v>4</v>
      </c>
      <c r="I8" s="29"/>
      <c r="J8" s="29">
        <v>1</v>
      </c>
      <c r="K8" s="29"/>
      <c r="L8" s="29"/>
      <c r="M8" s="29"/>
      <c r="N8" s="29">
        <v>1.4666666666666666</v>
      </c>
    </row>
    <row r="9" spans="2:14" x14ac:dyDescent="0.25">
      <c r="B9" s="28" t="s">
        <v>301</v>
      </c>
      <c r="C9" s="29"/>
      <c r="D9" s="29">
        <v>1.3333333333333333</v>
      </c>
      <c r="E9" s="29">
        <v>1.5</v>
      </c>
      <c r="F9" s="29"/>
      <c r="G9" s="29">
        <v>2</v>
      </c>
      <c r="H9" s="29"/>
      <c r="I9" s="29"/>
      <c r="J9" s="29">
        <v>1</v>
      </c>
      <c r="K9" s="29">
        <v>2</v>
      </c>
      <c r="L9" s="29"/>
      <c r="M9" s="29"/>
      <c r="N9" s="29">
        <v>1.5555555555555556</v>
      </c>
    </row>
    <row r="10" spans="2:14" x14ac:dyDescent="0.25">
      <c r="B10" s="28" t="s">
        <v>302</v>
      </c>
      <c r="C10" s="29">
        <v>1</v>
      </c>
      <c r="D10" s="29">
        <v>1</v>
      </c>
      <c r="E10" s="29">
        <v>2</v>
      </c>
      <c r="F10" s="29">
        <v>1.6666666666666667</v>
      </c>
      <c r="G10" s="29"/>
      <c r="H10" s="29"/>
      <c r="I10" s="29"/>
      <c r="J10" s="29"/>
      <c r="K10" s="29">
        <v>2</v>
      </c>
      <c r="L10" s="29">
        <v>1.5</v>
      </c>
      <c r="M10" s="29"/>
      <c r="N10" s="29">
        <v>1.5833333333333333</v>
      </c>
    </row>
    <row r="11" spans="2:14" x14ac:dyDescent="0.25">
      <c r="B11" s="28" t="s">
        <v>303</v>
      </c>
      <c r="C11" s="29">
        <v>1.3333333333333333</v>
      </c>
      <c r="D11" s="29">
        <v>1</v>
      </c>
      <c r="E11" s="29">
        <v>1</v>
      </c>
      <c r="F11" s="29">
        <v>2</v>
      </c>
      <c r="G11" s="29">
        <v>2</v>
      </c>
      <c r="H11" s="29"/>
      <c r="I11" s="29"/>
      <c r="J11" s="29"/>
      <c r="K11" s="29"/>
      <c r="L11" s="29">
        <v>5</v>
      </c>
      <c r="M11" s="29"/>
      <c r="N11" s="29">
        <v>1.9</v>
      </c>
    </row>
    <row r="12" spans="2:14" x14ac:dyDescent="0.25">
      <c r="B12" s="28" t="s">
        <v>304</v>
      </c>
      <c r="C12" s="29"/>
      <c r="D12" s="29"/>
      <c r="E12" s="29"/>
      <c r="F12" s="29">
        <v>4</v>
      </c>
      <c r="G12" s="29">
        <v>1</v>
      </c>
      <c r="H12" s="29"/>
      <c r="I12" s="29"/>
      <c r="J12" s="29"/>
      <c r="K12" s="29"/>
      <c r="L12" s="29"/>
      <c r="M12" s="29"/>
      <c r="N12" s="29">
        <v>3</v>
      </c>
    </row>
    <row r="13" spans="2:14" x14ac:dyDescent="0.25">
      <c r="B13" s="28" t="s">
        <v>305</v>
      </c>
      <c r="C13" s="29"/>
      <c r="D13" s="29"/>
      <c r="E13" s="29"/>
      <c r="F13" s="29">
        <v>5</v>
      </c>
      <c r="G13" s="29">
        <v>1</v>
      </c>
      <c r="H13" s="29">
        <v>1.5</v>
      </c>
      <c r="I13" s="29"/>
      <c r="J13" s="29"/>
      <c r="K13" s="29">
        <v>4.666666666666667</v>
      </c>
      <c r="L13" s="29"/>
      <c r="M13" s="29"/>
      <c r="N13" s="29">
        <v>2.8333333333333335</v>
      </c>
    </row>
    <row r="14" spans="2:14" x14ac:dyDescent="0.25">
      <c r="B14" s="28" t="s">
        <v>306</v>
      </c>
      <c r="C14" s="29"/>
      <c r="D14" s="29"/>
      <c r="E14" s="29"/>
      <c r="F14" s="29"/>
      <c r="G14" s="29">
        <v>3</v>
      </c>
      <c r="H14" s="29"/>
      <c r="I14" s="29"/>
      <c r="J14" s="29"/>
      <c r="K14" s="29"/>
      <c r="L14" s="29"/>
      <c r="M14" s="29"/>
      <c r="N14" s="29">
        <v>3</v>
      </c>
    </row>
    <row r="15" spans="2:14" x14ac:dyDescent="0.25">
      <c r="B15" s="28" t="s">
        <v>307</v>
      </c>
      <c r="C15" s="29"/>
      <c r="D15" s="29"/>
      <c r="E15" s="29"/>
      <c r="F15" s="29"/>
      <c r="G15" s="29"/>
      <c r="H15" s="29">
        <v>4</v>
      </c>
      <c r="I15" s="29">
        <v>2</v>
      </c>
      <c r="J15" s="29"/>
      <c r="K15" s="29"/>
      <c r="L15" s="29"/>
      <c r="M15" s="29"/>
      <c r="N15" s="29">
        <v>3.3333333333333335</v>
      </c>
    </row>
    <row r="16" spans="2:14" x14ac:dyDescent="0.25">
      <c r="B16" s="28" t="s">
        <v>308</v>
      </c>
      <c r="C16" s="29"/>
      <c r="D16" s="29"/>
      <c r="E16" s="29"/>
      <c r="F16" s="29"/>
      <c r="G16" s="29">
        <v>1</v>
      </c>
      <c r="H16" s="29"/>
      <c r="I16" s="29"/>
      <c r="J16" s="29"/>
      <c r="K16" s="29"/>
      <c r="L16" s="29"/>
      <c r="M16" s="29"/>
      <c r="N16" s="29">
        <v>1</v>
      </c>
    </row>
    <row r="17" spans="2:14" x14ac:dyDescent="0.25">
      <c r="B17" s="28" t="s">
        <v>309</v>
      </c>
      <c r="C17" s="29"/>
      <c r="D17" s="29"/>
      <c r="E17" s="29"/>
      <c r="F17" s="29"/>
      <c r="G17" s="29"/>
      <c r="H17" s="29"/>
      <c r="I17" s="29"/>
      <c r="J17" s="29"/>
      <c r="K17" s="29"/>
      <c r="L17" s="29">
        <v>3</v>
      </c>
      <c r="M17" s="29"/>
      <c r="N17" s="29">
        <v>3</v>
      </c>
    </row>
    <row r="18" spans="2:14" x14ac:dyDescent="0.25">
      <c r="B18" s="28" t="s">
        <v>310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>
        <v>11</v>
      </c>
      <c r="N18" s="29">
        <v>11</v>
      </c>
    </row>
    <row r="19" spans="2:14" x14ac:dyDescent="0.25">
      <c r="B19" s="28" t="s">
        <v>311</v>
      </c>
      <c r="C19" s="29"/>
      <c r="D19" s="29"/>
      <c r="E19" s="29"/>
      <c r="F19" s="29"/>
      <c r="G19" s="29"/>
      <c r="H19" s="29"/>
      <c r="I19" s="29"/>
      <c r="J19" s="29"/>
      <c r="K19" s="29"/>
      <c r="L19" s="29">
        <v>6</v>
      </c>
      <c r="M19" s="29"/>
      <c r="N19" s="29">
        <v>6</v>
      </c>
    </row>
    <row r="20" spans="2:14" x14ac:dyDescent="0.25">
      <c r="B20" s="28" t="s">
        <v>277</v>
      </c>
      <c r="C20" s="29">
        <v>1.25</v>
      </c>
      <c r="D20" s="29">
        <v>1.1818181818181819</v>
      </c>
      <c r="E20" s="29">
        <v>1.3888888888888888</v>
      </c>
      <c r="F20" s="29">
        <v>2.2777777777777777</v>
      </c>
      <c r="G20" s="29">
        <v>1.4444444444444444</v>
      </c>
      <c r="H20" s="29">
        <v>2.2000000000000002</v>
      </c>
      <c r="I20" s="29">
        <v>2</v>
      </c>
      <c r="J20" s="29">
        <v>1</v>
      </c>
      <c r="K20" s="29">
        <v>3</v>
      </c>
      <c r="L20" s="29">
        <v>3.4</v>
      </c>
      <c r="M20" s="29">
        <v>11</v>
      </c>
      <c r="N20" s="29">
        <v>2.0659340659340661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1C65-B0D2-45FA-AE7D-87C305FE0204}">
  <sheetPr>
    <tabColor rgb="FFFF0000"/>
  </sheetPr>
  <dimension ref="B1:T19"/>
  <sheetViews>
    <sheetView zoomScaleNormal="100" workbookViewId="0">
      <selection activeCell="M24" sqref="M24"/>
    </sheetView>
  </sheetViews>
  <sheetFormatPr defaultRowHeight="15" x14ac:dyDescent="0.25"/>
  <cols>
    <col min="1" max="1" width="3.7109375" customWidth="1"/>
    <col min="2" max="2" width="24.28515625" bestFit="1" customWidth="1"/>
    <col min="3" max="3" width="18.7109375" bestFit="1" customWidth="1"/>
    <col min="4" max="6" width="5.7109375" bestFit="1" customWidth="1"/>
    <col min="7" max="19" width="7.7109375" bestFit="1" customWidth="1"/>
    <col min="20" max="20" width="18.28515625" bestFit="1" customWidth="1"/>
    <col min="21" max="23" width="5.7109375" bestFit="1" customWidth="1"/>
    <col min="24" max="24" width="18.28515625" bestFit="1" customWidth="1"/>
    <col min="25" max="25" width="5" bestFit="1" customWidth="1"/>
    <col min="26" max="28" width="3" bestFit="1" customWidth="1"/>
    <col min="29" max="29" width="5" bestFit="1" customWidth="1"/>
    <col min="30" max="32" width="3" bestFit="1" customWidth="1"/>
    <col min="33" max="33" width="18.28515625" bestFit="1" customWidth="1"/>
    <col min="34" max="38" width="4.28515625" bestFit="1" customWidth="1"/>
    <col min="39" max="42" width="3.28515625" bestFit="1" customWidth="1"/>
    <col min="43" max="44" width="4.28515625" bestFit="1" customWidth="1"/>
    <col min="45" max="46" width="3.28515625" bestFit="1" customWidth="1"/>
    <col min="47" max="47" width="2.140625" bestFit="1" customWidth="1"/>
    <col min="48" max="48" width="3.28515625" bestFit="1" customWidth="1"/>
    <col min="49" max="51" width="4.28515625" bestFit="1" customWidth="1"/>
    <col min="52" max="52" width="3.28515625" bestFit="1" customWidth="1"/>
    <col min="53" max="53" width="4.28515625" bestFit="1" customWidth="1"/>
    <col min="54" max="54" width="3.28515625" bestFit="1" customWidth="1"/>
    <col min="55" max="55" width="4.28515625" bestFit="1" customWidth="1"/>
    <col min="56" max="57" width="3.28515625" bestFit="1" customWidth="1"/>
    <col min="58" max="59" width="4.28515625" bestFit="1" customWidth="1"/>
    <col min="60" max="60" width="3.28515625" bestFit="1" customWidth="1"/>
    <col min="61" max="63" width="4.28515625" bestFit="1" customWidth="1"/>
    <col min="64" max="65" width="3.28515625" bestFit="1" customWidth="1"/>
    <col min="66" max="67" width="4.28515625" bestFit="1" customWidth="1"/>
    <col min="68" max="68" width="7.140625" bestFit="1" customWidth="1"/>
    <col min="69" max="69" width="17.28515625" bestFit="1" customWidth="1"/>
  </cols>
  <sheetData>
    <row r="1" spans="2:20" x14ac:dyDescent="0.25">
      <c r="B1" s="8" t="s">
        <v>3</v>
      </c>
      <c r="C1" t="s">
        <v>21</v>
      </c>
    </row>
    <row r="3" spans="2:20" x14ac:dyDescent="0.25">
      <c r="B3" s="8" t="s">
        <v>257</v>
      </c>
      <c r="C3" s="8" t="s">
        <v>258</v>
      </c>
    </row>
    <row r="4" spans="2:20" x14ac:dyDescent="0.25">
      <c r="B4" s="8" t="s">
        <v>324</v>
      </c>
      <c r="C4" t="s">
        <v>260</v>
      </c>
      <c r="D4" t="s">
        <v>261</v>
      </c>
      <c r="E4" t="s">
        <v>262</v>
      </c>
      <c r="F4" t="s">
        <v>263</v>
      </c>
      <c r="G4" t="s">
        <v>264</v>
      </c>
      <c r="H4" t="s">
        <v>265</v>
      </c>
      <c r="I4" t="s">
        <v>266</v>
      </c>
      <c r="J4" t="s">
        <v>267</v>
      </c>
      <c r="K4" t="s">
        <v>268</v>
      </c>
      <c r="L4" t="s">
        <v>269</v>
      </c>
      <c r="M4" t="s">
        <v>270</v>
      </c>
      <c r="N4" t="s">
        <v>271</v>
      </c>
      <c r="O4" t="s">
        <v>272</v>
      </c>
      <c r="P4" t="s">
        <v>273</v>
      </c>
      <c r="Q4" t="s">
        <v>274</v>
      </c>
      <c r="R4" t="s">
        <v>275</v>
      </c>
      <c r="S4" t="s">
        <v>276</v>
      </c>
      <c r="T4" t="s">
        <v>277</v>
      </c>
    </row>
    <row r="5" spans="2:20" x14ac:dyDescent="0.25">
      <c r="B5" s="33" t="s">
        <v>325</v>
      </c>
      <c r="C5" s="29">
        <v>1</v>
      </c>
      <c r="D5" s="29">
        <v>1</v>
      </c>
      <c r="E5" s="29">
        <v>1.4</v>
      </c>
      <c r="F5" s="29">
        <v>1.6666666666666667</v>
      </c>
      <c r="G5" s="29">
        <v>1.3333333333333333</v>
      </c>
      <c r="H5" s="29">
        <v>1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>
        <v>1.28</v>
      </c>
    </row>
    <row r="6" spans="2:20" x14ac:dyDescent="0.25">
      <c r="B6" s="33" t="s">
        <v>326</v>
      </c>
      <c r="C6" s="29">
        <v>1</v>
      </c>
      <c r="D6" s="29">
        <v>1</v>
      </c>
      <c r="E6" s="29">
        <v>1</v>
      </c>
      <c r="F6" s="29">
        <v>2</v>
      </c>
      <c r="G6" s="29">
        <v>1.5</v>
      </c>
      <c r="H6" s="29">
        <v>1</v>
      </c>
      <c r="I6" s="29">
        <v>3</v>
      </c>
      <c r="J6" s="29">
        <v>4</v>
      </c>
      <c r="K6" s="29"/>
      <c r="L6" s="29"/>
      <c r="M6" s="29"/>
      <c r="N6" s="29"/>
      <c r="O6" s="29"/>
      <c r="P6" s="29"/>
      <c r="Q6" s="29"/>
      <c r="R6" s="29"/>
      <c r="S6" s="29"/>
      <c r="T6" s="29">
        <v>1.5652173913043479</v>
      </c>
    </row>
    <row r="7" spans="2:20" x14ac:dyDescent="0.25">
      <c r="B7" s="33" t="s">
        <v>327</v>
      </c>
      <c r="C7" s="29">
        <v>1</v>
      </c>
      <c r="D7" s="29">
        <v>1</v>
      </c>
      <c r="E7" s="29">
        <v>1</v>
      </c>
      <c r="F7" s="29">
        <v>1.3333333333333333</v>
      </c>
      <c r="G7" s="29">
        <v>1.6666666666666667</v>
      </c>
      <c r="H7" s="29"/>
      <c r="I7" s="29">
        <v>5</v>
      </c>
      <c r="J7" s="29"/>
      <c r="K7" s="29"/>
      <c r="L7" s="29">
        <v>2</v>
      </c>
      <c r="M7" s="29"/>
      <c r="N7" s="29"/>
      <c r="O7" s="29"/>
      <c r="P7" s="29"/>
      <c r="Q7" s="29"/>
      <c r="R7" s="29"/>
      <c r="S7" s="29"/>
      <c r="T7" s="29">
        <v>1.6666666666666667</v>
      </c>
    </row>
    <row r="8" spans="2:20" x14ac:dyDescent="0.25">
      <c r="B8" s="33" t="s">
        <v>328</v>
      </c>
      <c r="C8" s="29"/>
      <c r="D8" s="29"/>
      <c r="E8" s="29"/>
      <c r="F8" s="29"/>
      <c r="G8" s="29">
        <v>3</v>
      </c>
      <c r="H8" s="29"/>
      <c r="I8" s="29">
        <v>1</v>
      </c>
      <c r="J8" s="29"/>
      <c r="K8" s="29"/>
      <c r="L8" s="29"/>
      <c r="M8" s="29">
        <v>2</v>
      </c>
      <c r="N8" s="29"/>
      <c r="O8" s="29"/>
      <c r="P8" s="29"/>
      <c r="Q8" s="29"/>
      <c r="R8" s="29"/>
      <c r="S8" s="29"/>
      <c r="T8" s="29">
        <v>2</v>
      </c>
    </row>
    <row r="9" spans="2:20" x14ac:dyDescent="0.25">
      <c r="B9" s="33" t="s">
        <v>329</v>
      </c>
      <c r="C9" s="29"/>
      <c r="D9" s="29">
        <v>1</v>
      </c>
      <c r="E9" s="29"/>
      <c r="F9" s="29">
        <v>1</v>
      </c>
      <c r="G9" s="29">
        <v>1</v>
      </c>
      <c r="H9" s="29">
        <v>2</v>
      </c>
      <c r="I9" s="29">
        <v>2</v>
      </c>
      <c r="J9" s="29"/>
      <c r="K9" s="29">
        <v>3</v>
      </c>
      <c r="L9" s="29"/>
      <c r="M9" s="29"/>
      <c r="N9" s="29"/>
      <c r="O9" s="29"/>
      <c r="P9" s="29">
        <v>5.333333333333333</v>
      </c>
      <c r="Q9" s="29"/>
      <c r="R9" s="29"/>
      <c r="S9" s="29"/>
      <c r="T9" s="29">
        <v>2.8888888888888888</v>
      </c>
    </row>
    <row r="10" spans="2:20" x14ac:dyDescent="0.25">
      <c r="B10" s="33" t="s">
        <v>330</v>
      </c>
      <c r="C10" s="29"/>
      <c r="D10" s="29"/>
      <c r="E10" s="29"/>
      <c r="F10" s="29"/>
      <c r="G10" s="29">
        <v>1</v>
      </c>
      <c r="H10" s="29"/>
      <c r="I10" s="29">
        <v>2</v>
      </c>
      <c r="J10" s="29"/>
      <c r="K10" s="29"/>
      <c r="L10" s="29"/>
      <c r="M10" s="29">
        <v>2</v>
      </c>
      <c r="N10" s="29"/>
      <c r="O10" s="29"/>
      <c r="P10" s="29"/>
      <c r="Q10" s="29"/>
      <c r="R10" s="29"/>
      <c r="S10" s="29"/>
      <c r="T10" s="29">
        <v>1.6</v>
      </c>
    </row>
    <row r="11" spans="2:20" x14ac:dyDescent="0.25">
      <c r="B11" s="33" t="s">
        <v>331</v>
      </c>
      <c r="C11" s="29"/>
      <c r="D11" s="29"/>
      <c r="E11" s="29">
        <v>1.5</v>
      </c>
      <c r="F11" s="29">
        <v>1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>
        <v>1.3333333333333333</v>
      </c>
    </row>
    <row r="12" spans="2:20" x14ac:dyDescent="0.25">
      <c r="B12" s="33" t="s">
        <v>332</v>
      </c>
      <c r="C12" s="29"/>
      <c r="D12" s="29"/>
      <c r="E12" s="29"/>
      <c r="F12" s="29"/>
      <c r="G12" s="29"/>
      <c r="H12" s="29"/>
      <c r="I12" s="29"/>
      <c r="J12" s="29"/>
      <c r="K12" s="29">
        <v>3</v>
      </c>
      <c r="L12" s="29"/>
      <c r="M12" s="29"/>
      <c r="N12" s="29"/>
      <c r="O12" s="29"/>
      <c r="P12" s="29"/>
      <c r="Q12" s="29"/>
      <c r="R12" s="29">
        <v>8</v>
      </c>
      <c r="S12" s="29"/>
      <c r="T12" s="29">
        <v>4.666666666666667</v>
      </c>
    </row>
    <row r="13" spans="2:20" x14ac:dyDescent="0.25">
      <c r="B13" s="33" t="s">
        <v>333</v>
      </c>
      <c r="C13" s="29"/>
      <c r="D13" s="29"/>
      <c r="E13" s="29">
        <v>1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>
        <v>1</v>
      </c>
    </row>
    <row r="14" spans="2:20" x14ac:dyDescent="0.25">
      <c r="B14" s="33" t="s">
        <v>334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>
        <v>5</v>
      </c>
      <c r="T14" s="29">
        <v>5</v>
      </c>
    </row>
    <row r="15" spans="2:20" x14ac:dyDescent="0.25">
      <c r="B15" s="33" t="s">
        <v>335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>
        <v>11</v>
      </c>
      <c r="R15" s="29"/>
      <c r="S15" s="29">
        <v>3</v>
      </c>
      <c r="T15" s="29">
        <v>8.3333333333333339</v>
      </c>
    </row>
    <row r="16" spans="2:20" x14ac:dyDescent="0.25">
      <c r="B16" s="33" t="s">
        <v>336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>
        <v>6</v>
      </c>
      <c r="P16" s="29"/>
      <c r="Q16" s="29"/>
      <c r="R16" s="29"/>
      <c r="S16" s="29"/>
      <c r="T16" s="29">
        <v>6</v>
      </c>
    </row>
    <row r="17" spans="2:20" x14ac:dyDescent="0.25">
      <c r="B17" s="33" t="s">
        <v>337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>
        <v>3</v>
      </c>
      <c r="O17" s="29"/>
      <c r="P17" s="29"/>
      <c r="Q17" s="29"/>
      <c r="R17" s="29"/>
      <c r="S17" s="29"/>
      <c r="T17" s="29">
        <v>3</v>
      </c>
    </row>
    <row r="18" spans="2:20" x14ac:dyDescent="0.25">
      <c r="B18" s="33" t="s">
        <v>338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>
        <v>2</v>
      </c>
      <c r="Q18" s="29"/>
      <c r="R18" s="29"/>
      <c r="S18" s="29"/>
      <c r="T18" s="29">
        <v>2</v>
      </c>
    </row>
    <row r="19" spans="2:20" x14ac:dyDescent="0.25">
      <c r="B19" s="33" t="s">
        <v>277</v>
      </c>
      <c r="C19" s="29">
        <v>1</v>
      </c>
      <c r="D19" s="29">
        <v>1</v>
      </c>
      <c r="E19" s="29">
        <v>1.25</v>
      </c>
      <c r="F19" s="29">
        <v>1.5384615384615385</v>
      </c>
      <c r="G19" s="29">
        <v>1.5</v>
      </c>
      <c r="H19" s="29">
        <v>1.25</v>
      </c>
      <c r="I19" s="29">
        <v>2.5714285714285716</v>
      </c>
      <c r="J19" s="29">
        <v>4</v>
      </c>
      <c r="K19" s="29">
        <v>3</v>
      </c>
      <c r="L19" s="29">
        <v>2</v>
      </c>
      <c r="M19" s="29">
        <v>2</v>
      </c>
      <c r="N19" s="29">
        <v>3</v>
      </c>
      <c r="O19" s="29">
        <v>6</v>
      </c>
      <c r="P19" s="29">
        <v>4.5</v>
      </c>
      <c r="Q19" s="29">
        <v>11</v>
      </c>
      <c r="R19" s="29">
        <v>8</v>
      </c>
      <c r="S19" s="29">
        <v>4</v>
      </c>
      <c r="T19" s="29">
        <v>2.0659340659340661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F9F0-29B3-4B36-96EB-93134F0DBF31}">
  <sheetPr>
    <tabColor rgb="FFFF0000"/>
  </sheetPr>
  <dimension ref="B1:T21"/>
  <sheetViews>
    <sheetView zoomScaleNormal="100" workbookViewId="0">
      <selection activeCell="C10" sqref="C10"/>
    </sheetView>
  </sheetViews>
  <sheetFormatPr defaultRowHeight="15" x14ac:dyDescent="0.25"/>
  <cols>
    <col min="1" max="1" width="3.7109375" customWidth="1"/>
    <col min="2" max="2" width="24.28515625" bestFit="1" customWidth="1"/>
    <col min="3" max="3" width="18.7109375" bestFit="1" customWidth="1"/>
    <col min="4" max="6" width="5.7109375" bestFit="1" customWidth="1"/>
    <col min="7" max="19" width="7.7109375" bestFit="1" customWidth="1"/>
    <col min="20" max="20" width="18.28515625" bestFit="1" customWidth="1"/>
    <col min="21" max="23" width="5.7109375" bestFit="1" customWidth="1"/>
    <col min="24" max="24" width="18.28515625" bestFit="1" customWidth="1"/>
    <col min="25" max="25" width="5" bestFit="1" customWidth="1"/>
    <col min="26" max="28" width="3" bestFit="1" customWidth="1"/>
    <col min="29" max="29" width="5" bestFit="1" customWidth="1"/>
    <col min="30" max="32" width="3" bestFit="1" customWidth="1"/>
    <col min="33" max="33" width="18.28515625" bestFit="1" customWidth="1"/>
    <col min="34" max="38" width="4.28515625" bestFit="1" customWidth="1"/>
    <col min="39" max="42" width="3.28515625" bestFit="1" customWidth="1"/>
    <col min="43" max="44" width="4.28515625" bestFit="1" customWidth="1"/>
    <col min="45" max="46" width="3.28515625" bestFit="1" customWidth="1"/>
    <col min="47" max="47" width="2.140625" bestFit="1" customWidth="1"/>
    <col min="48" max="48" width="3.28515625" bestFit="1" customWidth="1"/>
    <col min="49" max="51" width="4.28515625" bestFit="1" customWidth="1"/>
    <col min="52" max="52" width="3.28515625" bestFit="1" customWidth="1"/>
    <col min="53" max="53" width="4.28515625" bestFit="1" customWidth="1"/>
    <col min="54" max="54" width="3.28515625" bestFit="1" customWidth="1"/>
    <col min="55" max="55" width="4.28515625" bestFit="1" customWidth="1"/>
    <col min="56" max="57" width="3.28515625" bestFit="1" customWidth="1"/>
    <col min="58" max="59" width="4.28515625" bestFit="1" customWidth="1"/>
    <col min="60" max="60" width="3.28515625" bestFit="1" customWidth="1"/>
    <col min="61" max="63" width="4.28515625" bestFit="1" customWidth="1"/>
    <col min="64" max="65" width="3.28515625" bestFit="1" customWidth="1"/>
    <col min="66" max="67" width="4.28515625" bestFit="1" customWidth="1"/>
    <col min="68" max="68" width="7.140625" bestFit="1" customWidth="1"/>
    <col min="69" max="69" width="17.28515625" bestFit="1" customWidth="1"/>
  </cols>
  <sheetData>
    <row r="1" spans="2:20" x14ac:dyDescent="0.25">
      <c r="B1" s="8" t="s">
        <v>3</v>
      </c>
      <c r="C1" t="s">
        <v>21</v>
      </c>
    </row>
    <row r="3" spans="2:20" x14ac:dyDescent="0.25">
      <c r="B3" s="8" t="s">
        <v>257</v>
      </c>
      <c r="C3" s="8" t="s">
        <v>258</v>
      </c>
    </row>
    <row r="4" spans="2:20" x14ac:dyDescent="0.25">
      <c r="B4" s="8" t="s">
        <v>339</v>
      </c>
      <c r="C4" t="s">
        <v>260</v>
      </c>
      <c r="D4" t="s">
        <v>261</v>
      </c>
      <c r="E4" t="s">
        <v>262</v>
      </c>
      <c r="F4" t="s">
        <v>263</v>
      </c>
      <c r="G4" t="s">
        <v>264</v>
      </c>
      <c r="H4" t="s">
        <v>265</v>
      </c>
      <c r="I4" t="s">
        <v>266</v>
      </c>
      <c r="J4" t="s">
        <v>267</v>
      </c>
      <c r="K4" t="s">
        <v>268</v>
      </c>
      <c r="L4" t="s">
        <v>269</v>
      </c>
      <c r="M4" t="s">
        <v>270</v>
      </c>
      <c r="N4" t="s">
        <v>271</v>
      </c>
      <c r="O4" t="s">
        <v>272</v>
      </c>
      <c r="P4" t="s">
        <v>273</v>
      </c>
      <c r="Q4" t="s">
        <v>274</v>
      </c>
      <c r="R4" t="s">
        <v>275</v>
      </c>
      <c r="S4" t="s">
        <v>276</v>
      </c>
      <c r="T4" t="s">
        <v>277</v>
      </c>
    </row>
    <row r="5" spans="2:20" x14ac:dyDescent="0.25">
      <c r="B5" s="33" t="s">
        <v>278</v>
      </c>
      <c r="C5" s="29">
        <v>1</v>
      </c>
      <c r="D5" s="29">
        <v>1</v>
      </c>
      <c r="E5" s="29">
        <v>2</v>
      </c>
      <c r="F5" s="29">
        <v>2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>
        <v>1.3</v>
      </c>
    </row>
    <row r="6" spans="2:20" x14ac:dyDescent="0.25">
      <c r="B6" s="33" t="s">
        <v>279</v>
      </c>
      <c r="C6" s="29">
        <v>1</v>
      </c>
      <c r="D6" s="29">
        <v>1</v>
      </c>
      <c r="E6" s="29">
        <v>1</v>
      </c>
      <c r="F6" s="29">
        <v>1.7142857142857142</v>
      </c>
      <c r="G6" s="29">
        <v>1.5</v>
      </c>
      <c r="H6" s="29">
        <v>1</v>
      </c>
      <c r="I6" s="29">
        <v>3</v>
      </c>
      <c r="J6" s="29"/>
      <c r="K6" s="29"/>
      <c r="L6" s="29"/>
      <c r="M6" s="29"/>
      <c r="N6" s="29"/>
      <c r="O6" s="29"/>
      <c r="P6" s="29"/>
      <c r="Q6" s="29"/>
      <c r="R6" s="29">
        <v>8</v>
      </c>
      <c r="S6" s="29"/>
      <c r="T6" s="29">
        <v>1.6206896551724137</v>
      </c>
    </row>
    <row r="7" spans="2:20" x14ac:dyDescent="0.25">
      <c r="B7" s="33" t="s">
        <v>280</v>
      </c>
      <c r="C7" s="29">
        <v>1</v>
      </c>
      <c r="D7" s="29">
        <v>1</v>
      </c>
      <c r="E7" s="29">
        <v>1</v>
      </c>
      <c r="F7" s="29"/>
      <c r="G7" s="29">
        <v>1.6666666666666667</v>
      </c>
      <c r="H7" s="29">
        <v>1</v>
      </c>
      <c r="I7" s="29">
        <v>4</v>
      </c>
      <c r="J7" s="29"/>
      <c r="K7" s="29"/>
      <c r="L7" s="29">
        <v>2</v>
      </c>
      <c r="M7" s="29"/>
      <c r="N7" s="29"/>
      <c r="O7" s="29"/>
      <c r="P7" s="29"/>
      <c r="Q7" s="29"/>
      <c r="R7" s="29"/>
      <c r="S7" s="29"/>
      <c r="T7" s="29">
        <v>1.8181818181818181</v>
      </c>
    </row>
    <row r="8" spans="2:20" x14ac:dyDescent="0.25">
      <c r="B8" s="33" t="s">
        <v>281</v>
      </c>
      <c r="C8" s="29"/>
      <c r="D8" s="29"/>
      <c r="E8" s="29">
        <v>1</v>
      </c>
      <c r="F8" s="29">
        <v>1</v>
      </c>
      <c r="G8" s="29"/>
      <c r="H8" s="29"/>
      <c r="I8" s="29"/>
      <c r="J8" s="29"/>
      <c r="K8" s="29"/>
      <c r="L8" s="29"/>
      <c r="M8" s="29"/>
      <c r="N8" s="29"/>
      <c r="O8" s="29"/>
      <c r="P8" s="29">
        <v>5.333333333333333</v>
      </c>
      <c r="Q8" s="29"/>
      <c r="R8" s="29"/>
      <c r="S8" s="29"/>
      <c r="T8" s="29">
        <v>2.8571428571428572</v>
      </c>
    </row>
    <row r="9" spans="2:20" x14ac:dyDescent="0.25">
      <c r="B9" s="33" t="s">
        <v>282</v>
      </c>
      <c r="C9" s="29">
        <v>1</v>
      </c>
      <c r="D9" s="29"/>
      <c r="E9" s="29"/>
      <c r="F9" s="29">
        <v>2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>
        <v>1.5</v>
      </c>
    </row>
    <row r="10" spans="2:20" x14ac:dyDescent="0.25">
      <c r="B10" s="33" t="s">
        <v>340</v>
      </c>
      <c r="C10" s="29"/>
      <c r="D10" s="29">
        <v>1</v>
      </c>
      <c r="E10" s="29"/>
      <c r="F10" s="29"/>
      <c r="G10" s="29">
        <v>1.75</v>
      </c>
      <c r="H10" s="29"/>
      <c r="I10" s="29"/>
      <c r="J10" s="29"/>
      <c r="K10" s="29">
        <v>3</v>
      </c>
      <c r="L10" s="29"/>
      <c r="M10" s="29">
        <v>2</v>
      </c>
      <c r="N10" s="29"/>
      <c r="O10" s="29"/>
      <c r="P10" s="29"/>
      <c r="Q10" s="29"/>
      <c r="R10" s="29"/>
      <c r="S10" s="29"/>
      <c r="T10" s="29">
        <v>1.8571428571428572</v>
      </c>
    </row>
    <row r="11" spans="2:20" x14ac:dyDescent="0.25">
      <c r="B11" s="33" t="s">
        <v>283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>
        <v>2</v>
      </c>
      <c r="N11" s="29"/>
      <c r="O11" s="29"/>
      <c r="P11" s="29"/>
      <c r="Q11" s="29"/>
      <c r="R11" s="29"/>
      <c r="S11" s="29"/>
      <c r="T11" s="29">
        <v>2</v>
      </c>
    </row>
    <row r="12" spans="2:20" x14ac:dyDescent="0.25">
      <c r="B12" s="33" t="s">
        <v>341</v>
      </c>
      <c r="C12" s="29"/>
      <c r="D12" s="29">
        <v>1</v>
      </c>
      <c r="E12" s="29"/>
      <c r="F12" s="29"/>
      <c r="G12" s="29"/>
      <c r="H12" s="29"/>
      <c r="I12" s="29"/>
      <c r="J12" s="29">
        <v>4</v>
      </c>
      <c r="K12" s="29"/>
      <c r="L12" s="29"/>
      <c r="M12" s="29"/>
      <c r="N12" s="29"/>
      <c r="O12" s="29"/>
      <c r="P12" s="29"/>
      <c r="Q12" s="29"/>
      <c r="R12" s="29"/>
      <c r="S12" s="29"/>
      <c r="T12" s="29">
        <v>2.5</v>
      </c>
    </row>
    <row r="13" spans="2:20" x14ac:dyDescent="0.25">
      <c r="B13" s="33" t="s">
        <v>342</v>
      </c>
      <c r="C13" s="29"/>
      <c r="D13" s="29"/>
      <c r="E13" s="29"/>
      <c r="F13" s="29"/>
      <c r="G13" s="29">
        <v>1</v>
      </c>
      <c r="H13" s="29"/>
      <c r="I13" s="29">
        <v>1.75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>
        <v>1.4285714285714286</v>
      </c>
    </row>
    <row r="14" spans="2:20" x14ac:dyDescent="0.25">
      <c r="B14" s="33" t="s">
        <v>343</v>
      </c>
      <c r="C14" s="29"/>
      <c r="D14" s="29"/>
      <c r="E14" s="29">
        <v>1</v>
      </c>
      <c r="F14" s="29">
        <v>1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>
        <v>1</v>
      </c>
    </row>
    <row r="15" spans="2:20" x14ac:dyDescent="0.25">
      <c r="B15" s="33" t="s">
        <v>285</v>
      </c>
      <c r="C15" s="29"/>
      <c r="D15" s="29"/>
      <c r="E15" s="29">
        <v>1.5</v>
      </c>
      <c r="F15" s="29"/>
      <c r="G15" s="29"/>
      <c r="H15" s="29"/>
      <c r="I15" s="29"/>
      <c r="J15" s="29"/>
      <c r="K15" s="29"/>
      <c r="L15" s="29"/>
      <c r="M15" s="29"/>
      <c r="N15" s="29">
        <v>3</v>
      </c>
      <c r="O15" s="29"/>
      <c r="P15" s="29"/>
      <c r="Q15" s="29"/>
      <c r="R15" s="29"/>
      <c r="S15" s="29"/>
      <c r="T15" s="29">
        <v>2</v>
      </c>
    </row>
    <row r="16" spans="2:20" x14ac:dyDescent="0.25">
      <c r="B16" s="33" t="s">
        <v>286</v>
      </c>
      <c r="C16" s="29"/>
      <c r="D16" s="29"/>
      <c r="E16" s="29">
        <v>1</v>
      </c>
      <c r="F16" s="29"/>
      <c r="G16" s="29"/>
      <c r="H16" s="29">
        <v>2</v>
      </c>
      <c r="I16" s="29"/>
      <c r="J16" s="29"/>
      <c r="K16" s="29">
        <v>3</v>
      </c>
      <c r="L16" s="29"/>
      <c r="M16" s="29"/>
      <c r="N16" s="29"/>
      <c r="O16" s="29"/>
      <c r="P16" s="29"/>
      <c r="Q16" s="29"/>
      <c r="R16" s="29"/>
      <c r="S16" s="29"/>
      <c r="T16" s="29">
        <v>2.25</v>
      </c>
    </row>
    <row r="17" spans="2:20" x14ac:dyDescent="0.25">
      <c r="B17" s="33" t="s">
        <v>344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>
        <v>11</v>
      </c>
      <c r="R17" s="29"/>
      <c r="S17" s="29">
        <v>5</v>
      </c>
      <c r="T17" s="29">
        <v>9</v>
      </c>
    </row>
    <row r="18" spans="2:20" x14ac:dyDescent="0.25">
      <c r="B18" s="33" t="s">
        <v>345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>
        <v>3</v>
      </c>
      <c r="T18" s="29">
        <v>3</v>
      </c>
    </row>
    <row r="19" spans="2:20" x14ac:dyDescent="0.25">
      <c r="B19" s="33" t="s">
        <v>346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>
        <v>6</v>
      </c>
      <c r="P19" s="29"/>
      <c r="Q19" s="29"/>
      <c r="R19" s="29"/>
      <c r="S19" s="29"/>
      <c r="T19" s="29">
        <v>6</v>
      </c>
    </row>
    <row r="20" spans="2:20" x14ac:dyDescent="0.25">
      <c r="B20" s="33" t="s">
        <v>347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>
        <v>2</v>
      </c>
      <c r="Q20" s="29"/>
      <c r="R20" s="29"/>
      <c r="S20" s="29"/>
      <c r="T20" s="29">
        <v>2</v>
      </c>
    </row>
    <row r="21" spans="2:20" x14ac:dyDescent="0.25">
      <c r="B21" s="33" t="s">
        <v>277</v>
      </c>
      <c r="C21" s="29">
        <v>1</v>
      </c>
      <c r="D21" s="29">
        <v>1</v>
      </c>
      <c r="E21" s="29">
        <v>1.25</v>
      </c>
      <c r="F21" s="29">
        <v>1.5384615384615385</v>
      </c>
      <c r="G21" s="29">
        <v>1.5</v>
      </c>
      <c r="H21" s="29">
        <v>1.25</v>
      </c>
      <c r="I21" s="29">
        <v>2.5714285714285716</v>
      </c>
      <c r="J21" s="29">
        <v>4</v>
      </c>
      <c r="K21" s="29">
        <v>3</v>
      </c>
      <c r="L21" s="29">
        <v>2</v>
      </c>
      <c r="M21" s="29">
        <v>2</v>
      </c>
      <c r="N21" s="29">
        <v>3</v>
      </c>
      <c r="O21" s="29">
        <v>6</v>
      </c>
      <c r="P21" s="29">
        <v>4.5</v>
      </c>
      <c r="Q21" s="29">
        <v>11</v>
      </c>
      <c r="R21" s="29">
        <v>8</v>
      </c>
      <c r="S21" s="29">
        <v>4</v>
      </c>
      <c r="T21" s="29">
        <v>2.0659340659340661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F98A-72E9-4F4E-A142-5D919820C116}">
  <sheetPr>
    <tabColor theme="9" tint="0.39997558519241921"/>
  </sheetPr>
  <dimension ref="B1:V13"/>
  <sheetViews>
    <sheetView workbookViewId="0">
      <selection activeCell="F39" sqref="F39"/>
    </sheetView>
  </sheetViews>
  <sheetFormatPr defaultRowHeight="15" x14ac:dyDescent="0.25"/>
  <cols>
    <col min="1" max="1" width="4" customWidth="1"/>
    <col min="2" max="2" width="24.28515625" bestFit="1" customWidth="1"/>
    <col min="3" max="3" width="18" bestFit="1" customWidth="1"/>
    <col min="4" max="5" width="5.7109375" bestFit="1" customWidth="1"/>
    <col min="6" max="21" width="7.7109375" bestFit="1" customWidth="1"/>
    <col min="22" max="23" width="18.28515625" bestFit="1" customWidth="1"/>
  </cols>
  <sheetData>
    <row r="1" spans="2:22" x14ac:dyDescent="0.25">
      <c r="B1" s="8" t="s">
        <v>3</v>
      </c>
      <c r="C1" t="s">
        <v>348</v>
      </c>
    </row>
    <row r="3" spans="2:22" x14ac:dyDescent="0.25">
      <c r="B3" s="8" t="s">
        <v>257</v>
      </c>
      <c r="C3" s="8" t="s">
        <v>349</v>
      </c>
    </row>
    <row r="4" spans="2:22" x14ac:dyDescent="0.25">
      <c r="B4" s="8" t="s">
        <v>259</v>
      </c>
      <c r="C4" t="s">
        <v>261</v>
      </c>
      <c r="D4" t="s">
        <v>262</v>
      </c>
      <c r="E4" t="s">
        <v>263</v>
      </c>
      <c r="F4" t="s">
        <v>264</v>
      </c>
      <c r="G4" t="s">
        <v>265</v>
      </c>
      <c r="H4" t="s">
        <v>266</v>
      </c>
      <c r="I4" t="s">
        <v>267</v>
      </c>
      <c r="J4" t="s">
        <v>268</v>
      </c>
      <c r="K4" t="s">
        <v>269</v>
      </c>
      <c r="L4" t="s">
        <v>270</v>
      </c>
      <c r="M4" t="s">
        <v>271</v>
      </c>
      <c r="N4" t="s">
        <v>350</v>
      </c>
      <c r="O4" t="s">
        <v>351</v>
      </c>
      <c r="P4" t="s">
        <v>352</v>
      </c>
      <c r="Q4" t="s">
        <v>273</v>
      </c>
      <c r="R4" t="s">
        <v>275</v>
      </c>
      <c r="S4" t="s">
        <v>353</v>
      </c>
      <c r="T4" t="s">
        <v>276</v>
      </c>
      <c r="U4" t="s">
        <v>354</v>
      </c>
      <c r="V4" t="s">
        <v>277</v>
      </c>
    </row>
    <row r="5" spans="2:22" x14ac:dyDescent="0.25">
      <c r="B5" s="28" t="s">
        <v>278</v>
      </c>
      <c r="C5" s="29">
        <v>1</v>
      </c>
      <c r="D5" s="29">
        <v>1</v>
      </c>
      <c r="E5" s="29">
        <v>1</v>
      </c>
      <c r="F5" s="29">
        <v>1</v>
      </c>
      <c r="G5" s="29">
        <v>1.6666666666666667</v>
      </c>
      <c r="H5" s="29">
        <v>2</v>
      </c>
      <c r="I5" s="29">
        <v>2</v>
      </c>
      <c r="J5" s="29">
        <v>1</v>
      </c>
      <c r="K5" s="29">
        <v>1</v>
      </c>
      <c r="L5" s="29"/>
      <c r="M5" s="29"/>
      <c r="N5" s="29">
        <v>2</v>
      </c>
      <c r="O5" s="29"/>
      <c r="P5" s="29"/>
      <c r="Q5" s="29"/>
      <c r="R5" s="29"/>
      <c r="S5" s="29">
        <v>2</v>
      </c>
      <c r="T5" s="29"/>
      <c r="U5" s="29"/>
      <c r="V5" s="29">
        <v>1.3529411764705883</v>
      </c>
    </row>
    <row r="6" spans="2:22" x14ac:dyDescent="0.25">
      <c r="B6" s="28" t="s">
        <v>279</v>
      </c>
      <c r="C6" s="29">
        <v>1</v>
      </c>
      <c r="D6" s="29">
        <v>1</v>
      </c>
      <c r="E6" s="29"/>
      <c r="F6" s="29"/>
      <c r="G6" s="29"/>
      <c r="H6" s="29"/>
      <c r="I6" s="29">
        <v>2</v>
      </c>
      <c r="J6" s="29"/>
      <c r="K6" s="29"/>
      <c r="L6" s="29">
        <v>1</v>
      </c>
      <c r="M6" s="29">
        <v>3</v>
      </c>
      <c r="N6" s="29">
        <v>3</v>
      </c>
      <c r="O6" s="29"/>
      <c r="P6" s="29"/>
      <c r="Q6" s="29"/>
      <c r="R6" s="29"/>
      <c r="S6" s="29"/>
      <c r="T6" s="29">
        <v>3</v>
      </c>
      <c r="U6" s="29"/>
      <c r="V6" s="29">
        <v>2</v>
      </c>
    </row>
    <row r="7" spans="2:22" x14ac:dyDescent="0.25">
      <c r="B7" s="28" t="s">
        <v>280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>
        <v>1</v>
      </c>
      <c r="P7" s="29"/>
      <c r="Q7" s="29"/>
      <c r="R7" s="29"/>
      <c r="S7" s="29"/>
      <c r="T7" s="29">
        <v>1</v>
      </c>
      <c r="U7" s="29">
        <v>4</v>
      </c>
      <c r="V7" s="29">
        <v>1.75</v>
      </c>
    </row>
    <row r="8" spans="2:22" x14ac:dyDescent="0.25">
      <c r="B8" s="28" t="s">
        <v>281</v>
      </c>
      <c r="C8" s="29"/>
      <c r="D8" s="29"/>
      <c r="E8" s="29"/>
      <c r="F8" s="29"/>
      <c r="G8" s="29"/>
      <c r="H8" s="29">
        <v>1.5</v>
      </c>
      <c r="I8" s="29"/>
      <c r="J8" s="29"/>
      <c r="K8" s="29"/>
      <c r="L8" s="29"/>
      <c r="M8" s="29"/>
      <c r="N8" s="29"/>
      <c r="O8" s="29"/>
      <c r="P8" s="29">
        <v>3</v>
      </c>
      <c r="Q8" s="29"/>
      <c r="R8" s="29">
        <v>8.5</v>
      </c>
      <c r="S8" s="29"/>
      <c r="T8" s="29"/>
      <c r="U8" s="29"/>
      <c r="V8" s="29">
        <v>4.5999999999999996</v>
      </c>
    </row>
    <row r="9" spans="2:22" x14ac:dyDescent="0.25">
      <c r="B9" s="28" t="s">
        <v>282</v>
      </c>
      <c r="C9" s="29"/>
      <c r="D9" s="29"/>
      <c r="E9" s="29"/>
      <c r="F9" s="29"/>
      <c r="G9" s="29"/>
      <c r="H9" s="29">
        <v>1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>
        <v>2</v>
      </c>
      <c r="U9" s="29"/>
      <c r="V9" s="29">
        <v>1.5</v>
      </c>
    </row>
    <row r="10" spans="2:22" x14ac:dyDescent="0.25">
      <c r="B10" s="28" t="s">
        <v>340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>
        <v>2.5</v>
      </c>
      <c r="N10" s="29"/>
      <c r="O10" s="29"/>
      <c r="P10" s="29"/>
      <c r="Q10" s="29"/>
      <c r="R10" s="29"/>
      <c r="S10" s="29"/>
      <c r="T10" s="29"/>
      <c r="U10" s="29"/>
      <c r="V10" s="29">
        <v>2.5</v>
      </c>
    </row>
    <row r="11" spans="2:22" x14ac:dyDescent="0.25">
      <c r="B11" s="28" t="s">
        <v>283</v>
      </c>
      <c r="C11" s="29"/>
      <c r="D11" s="29"/>
      <c r="E11" s="29"/>
      <c r="F11" s="29"/>
      <c r="G11" s="29"/>
      <c r="H11" s="29">
        <v>2</v>
      </c>
      <c r="I11" s="29"/>
      <c r="J11" s="29"/>
      <c r="K11" s="29"/>
      <c r="L11" s="29"/>
      <c r="M11" s="29">
        <v>3</v>
      </c>
      <c r="N11" s="29"/>
      <c r="O11" s="29"/>
      <c r="P11" s="29"/>
      <c r="Q11" s="29">
        <v>3</v>
      </c>
      <c r="R11" s="29"/>
      <c r="S11" s="29"/>
      <c r="T11" s="29"/>
      <c r="U11" s="29"/>
      <c r="V11" s="29">
        <v>2.75</v>
      </c>
    </row>
    <row r="12" spans="2:22" x14ac:dyDescent="0.25">
      <c r="B12" s="28" t="s">
        <v>341</v>
      </c>
      <c r="C12" s="29"/>
      <c r="D12" s="29"/>
      <c r="E12" s="29"/>
      <c r="F12" s="29"/>
      <c r="G12" s="29"/>
      <c r="H12" s="29">
        <v>2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>
        <v>5</v>
      </c>
      <c r="T12" s="29"/>
      <c r="U12" s="29"/>
      <c r="V12" s="29">
        <v>4</v>
      </c>
    </row>
    <row r="13" spans="2:22" x14ac:dyDescent="0.25">
      <c r="B13" s="28" t="s">
        <v>277</v>
      </c>
      <c r="C13" s="29">
        <v>1</v>
      </c>
      <c r="D13" s="29">
        <v>1</v>
      </c>
      <c r="E13" s="29">
        <v>1</v>
      </c>
      <c r="F13" s="29">
        <v>1</v>
      </c>
      <c r="G13" s="29">
        <v>1.6666666666666667</v>
      </c>
      <c r="H13" s="29">
        <v>1.6666666666666667</v>
      </c>
      <c r="I13" s="29">
        <v>2</v>
      </c>
      <c r="J13" s="29">
        <v>1</v>
      </c>
      <c r="K13" s="29">
        <v>1</v>
      </c>
      <c r="L13" s="29">
        <v>1</v>
      </c>
      <c r="M13" s="29">
        <v>2.8333333333333335</v>
      </c>
      <c r="N13" s="29">
        <v>2.5</v>
      </c>
      <c r="O13" s="29">
        <v>1</v>
      </c>
      <c r="P13" s="29">
        <v>3</v>
      </c>
      <c r="Q13" s="29">
        <v>3</v>
      </c>
      <c r="R13" s="29">
        <v>8.5</v>
      </c>
      <c r="S13" s="29">
        <v>4</v>
      </c>
      <c r="T13" s="29">
        <v>2</v>
      </c>
      <c r="U13" s="29">
        <v>4</v>
      </c>
      <c r="V13" s="29">
        <v>2.204081632653061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8DE4-9641-47BB-9E86-6F1209F4F304}">
  <sheetPr>
    <tabColor theme="9" tint="0.39997558519241921"/>
  </sheetPr>
  <dimension ref="B1:J19"/>
  <sheetViews>
    <sheetView workbookViewId="0">
      <selection activeCell="M13" sqref="M13"/>
    </sheetView>
  </sheetViews>
  <sheetFormatPr defaultRowHeight="15" x14ac:dyDescent="0.25"/>
  <cols>
    <col min="1" max="1" width="4" customWidth="1"/>
    <col min="2" max="2" width="24.28515625" bestFit="1" customWidth="1"/>
    <col min="3" max="3" width="15.28515625" bestFit="1" customWidth="1"/>
    <col min="4" max="9" width="5.7109375" bestFit="1" customWidth="1"/>
    <col min="10" max="10" width="18.28515625" bestFit="1" customWidth="1"/>
    <col min="11" max="21" width="7.7109375" bestFit="1" customWidth="1"/>
    <col min="22" max="23" width="18.28515625" bestFit="1" customWidth="1"/>
  </cols>
  <sheetData>
    <row r="1" spans="2:10" x14ac:dyDescent="0.25">
      <c r="B1" s="8" t="s">
        <v>3</v>
      </c>
      <c r="C1" t="s">
        <v>348</v>
      </c>
    </row>
    <row r="3" spans="2:10" x14ac:dyDescent="0.25">
      <c r="B3" s="8" t="s">
        <v>257</v>
      </c>
      <c r="C3" s="8" t="s">
        <v>287</v>
      </c>
    </row>
    <row r="4" spans="2:10" x14ac:dyDescent="0.25">
      <c r="B4" s="8" t="s">
        <v>288</v>
      </c>
      <c r="C4" t="s">
        <v>290</v>
      </c>
      <c r="D4" t="s">
        <v>291</v>
      </c>
      <c r="E4" t="s">
        <v>292</v>
      </c>
      <c r="F4" t="s">
        <v>293</v>
      </c>
      <c r="G4" t="s">
        <v>294</v>
      </c>
      <c r="H4" t="s">
        <v>295</v>
      </c>
      <c r="I4" t="s">
        <v>296</v>
      </c>
      <c r="J4" t="s">
        <v>277</v>
      </c>
    </row>
    <row r="5" spans="2:10" x14ac:dyDescent="0.25">
      <c r="B5" s="28" t="s">
        <v>298</v>
      </c>
      <c r="C5" s="29">
        <v>1</v>
      </c>
      <c r="D5" s="29">
        <v>2</v>
      </c>
      <c r="E5" s="29">
        <v>2</v>
      </c>
      <c r="F5" s="29"/>
      <c r="G5" s="29"/>
      <c r="H5" s="29"/>
      <c r="I5" s="29"/>
      <c r="J5" s="29">
        <v>1.75</v>
      </c>
    </row>
    <row r="6" spans="2:10" x14ac:dyDescent="0.25">
      <c r="B6" s="28" t="s">
        <v>299</v>
      </c>
      <c r="C6" s="29"/>
      <c r="D6" s="29"/>
      <c r="E6" s="29">
        <v>1</v>
      </c>
      <c r="F6" s="29"/>
      <c r="G6" s="29"/>
      <c r="H6" s="29">
        <v>1</v>
      </c>
      <c r="I6" s="29"/>
      <c r="J6" s="29">
        <v>1</v>
      </c>
    </row>
    <row r="7" spans="2:10" x14ac:dyDescent="0.25">
      <c r="B7" s="28" t="s">
        <v>300</v>
      </c>
      <c r="C7" s="29">
        <v>1</v>
      </c>
      <c r="D7" s="29">
        <v>1.3333333333333333</v>
      </c>
      <c r="E7" s="29"/>
      <c r="F7" s="29"/>
      <c r="G7" s="29"/>
      <c r="H7" s="29"/>
      <c r="I7" s="29"/>
      <c r="J7" s="29">
        <v>1.2857142857142858</v>
      </c>
    </row>
    <row r="8" spans="2:10" x14ac:dyDescent="0.25">
      <c r="B8" s="28" t="s">
        <v>301</v>
      </c>
      <c r="C8" s="29"/>
      <c r="D8" s="29"/>
      <c r="E8" s="29">
        <v>1</v>
      </c>
      <c r="F8" s="29"/>
      <c r="G8" s="29"/>
      <c r="H8" s="29"/>
      <c r="I8" s="29">
        <v>1</v>
      </c>
      <c r="J8" s="29">
        <v>1</v>
      </c>
    </row>
    <row r="9" spans="2:10" x14ac:dyDescent="0.25">
      <c r="B9" s="28" t="s">
        <v>302</v>
      </c>
      <c r="C9" s="29">
        <v>8.5</v>
      </c>
      <c r="D9" s="29">
        <v>2</v>
      </c>
      <c r="E9" s="29"/>
      <c r="F9" s="29"/>
      <c r="G9" s="29">
        <v>4</v>
      </c>
      <c r="H9" s="29"/>
      <c r="I9" s="29"/>
      <c r="J9" s="29">
        <v>5.75</v>
      </c>
    </row>
    <row r="10" spans="2:10" x14ac:dyDescent="0.25">
      <c r="B10" s="28" t="s">
        <v>303</v>
      </c>
      <c r="C10" s="29"/>
      <c r="D10" s="29">
        <v>1.75</v>
      </c>
      <c r="E10" s="29"/>
      <c r="F10" s="29">
        <v>2</v>
      </c>
      <c r="G10" s="29"/>
      <c r="H10" s="29"/>
      <c r="I10" s="29"/>
      <c r="J10" s="29">
        <v>1.9</v>
      </c>
    </row>
    <row r="11" spans="2:10" x14ac:dyDescent="0.25">
      <c r="B11" s="28" t="s">
        <v>306</v>
      </c>
      <c r="C11" s="29"/>
      <c r="D11" s="29">
        <v>2</v>
      </c>
      <c r="E11" s="29"/>
      <c r="F11" s="29"/>
      <c r="G11" s="29"/>
      <c r="H11" s="29"/>
      <c r="I11" s="29"/>
      <c r="J11" s="29">
        <v>2</v>
      </c>
    </row>
    <row r="12" spans="2:10" x14ac:dyDescent="0.25">
      <c r="B12" s="28" t="s">
        <v>307</v>
      </c>
      <c r="C12" s="29"/>
      <c r="D12" s="29"/>
      <c r="E12" s="29"/>
      <c r="F12" s="29">
        <v>1</v>
      </c>
      <c r="G12" s="29"/>
      <c r="H12" s="29"/>
      <c r="I12" s="29"/>
      <c r="J12" s="29">
        <v>1</v>
      </c>
    </row>
    <row r="13" spans="2:10" x14ac:dyDescent="0.25">
      <c r="B13" s="28" t="s">
        <v>308</v>
      </c>
      <c r="C13" s="29"/>
      <c r="D13" s="29"/>
      <c r="E13" s="29"/>
      <c r="F13" s="29">
        <v>1</v>
      </c>
      <c r="G13" s="29"/>
      <c r="H13" s="29"/>
      <c r="I13" s="29"/>
      <c r="J13" s="29">
        <v>1</v>
      </c>
    </row>
    <row r="14" spans="2:10" x14ac:dyDescent="0.25">
      <c r="B14" s="28" t="s">
        <v>309</v>
      </c>
      <c r="C14" s="29"/>
      <c r="D14" s="29"/>
      <c r="E14" s="29"/>
      <c r="F14" s="29">
        <v>2.6666666666666665</v>
      </c>
      <c r="G14" s="29"/>
      <c r="H14" s="29"/>
      <c r="I14" s="29"/>
      <c r="J14" s="29">
        <v>2.6666666666666665</v>
      </c>
    </row>
    <row r="15" spans="2:10" x14ac:dyDescent="0.25">
      <c r="B15" s="28" t="s">
        <v>355</v>
      </c>
      <c r="C15" s="29"/>
      <c r="D15" s="29"/>
      <c r="E15" s="29"/>
      <c r="F15" s="29">
        <v>3</v>
      </c>
      <c r="G15" s="29"/>
      <c r="H15" s="29"/>
      <c r="I15" s="29"/>
      <c r="J15" s="29">
        <v>3</v>
      </c>
    </row>
    <row r="16" spans="2:10" x14ac:dyDescent="0.25">
      <c r="B16" s="28" t="s">
        <v>356</v>
      </c>
      <c r="C16" s="29"/>
      <c r="D16" s="29"/>
      <c r="E16" s="29"/>
      <c r="F16" s="29">
        <v>3</v>
      </c>
      <c r="G16" s="29"/>
      <c r="H16" s="29"/>
      <c r="I16" s="29"/>
      <c r="J16" s="29">
        <v>3</v>
      </c>
    </row>
    <row r="17" spans="2:10" x14ac:dyDescent="0.25">
      <c r="B17" s="28" t="s">
        <v>310</v>
      </c>
      <c r="C17" s="29"/>
      <c r="D17" s="29">
        <v>5</v>
      </c>
      <c r="E17" s="29"/>
      <c r="F17" s="29"/>
      <c r="G17" s="29"/>
      <c r="H17" s="29"/>
      <c r="I17" s="29"/>
      <c r="J17" s="29">
        <v>5</v>
      </c>
    </row>
    <row r="18" spans="2:10" x14ac:dyDescent="0.25">
      <c r="B18" s="28" t="s">
        <v>357</v>
      </c>
      <c r="C18" s="29"/>
      <c r="D18" s="29">
        <v>1.6666666666666667</v>
      </c>
      <c r="E18" s="29"/>
      <c r="F18" s="29"/>
      <c r="G18" s="29"/>
      <c r="H18" s="29"/>
      <c r="I18" s="29"/>
      <c r="J18" s="29">
        <v>1.6666666666666667</v>
      </c>
    </row>
    <row r="19" spans="2:10" x14ac:dyDescent="0.25">
      <c r="B19" s="28" t="s">
        <v>277</v>
      </c>
      <c r="C19" s="29">
        <v>4</v>
      </c>
      <c r="D19" s="29">
        <v>2</v>
      </c>
      <c r="E19" s="29">
        <v>1.3333333333333333</v>
      </c>
      <c r="F19" s="29">
        <v>2.1538461538461537</v>
      </c>
      <c r="G19" s="29">
        <v>4</v>
      </c>
      <c r="H19" s="29">
        <v>1</v>
      </c>
      <c r="I19" s="29">
        <v>1</v>
      </c>
      <c r="J19" s="29">
        <v>2.204081632653061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1B7F-7476-4B6D-B4FA-3090DC18C788}">
  <sheetPr>
    <tabColor theme="9" tint="0.39997558519241921"/>
  </sheetPr>
  <dimension ref="B1:O19"/>
  <sheetViews>
    <sheetView workbookViewId="0">
      <selection activeCell="D27" sqref="D27"/>
    </sheetView>
  </sheetViews>
  <sheetFormatPr defaultRowHeight="15" x14ac:dyDescent="0.25"/>
  <cols>
    <col min="1" max="1" width="4" customWidth="1"/>
    <col min="2" max="2" width="24.28515625" bestFit="1" customWidth="1"/>
    <col min="3" max="3" width="15.28515625" bestFit="1" customWidth="1"/>
    <col min="4" max="11" width="5.7109375" bestFit="1" customWidth="1"/>
    <col min="12" max="12" width="6.7109375" bestFit="1" customWidth="1"/>
    <col min="13" max="14" width="7.7109375" bestFit="1" customWidth="1"/>
    <col min="15" max="15" width="18.28515625" bestFit="1" customWidth="1"/>
    <col min="16" max="21" width="7.7109375" bestFit="1" customWidth="1"/>
    <col min="22" max="23" width="18.28515625" bestFit="1" customWidth="1"/>
  </cols>
  <sheetData>
    <row r="1" spans="2:15" x14ac:dyDescent="0.25">
      <c r="B1" s="8" t="s">
        <v>3</v>
      </c>
      <c r="C1" t="s">
        <v>348</v>
      </c>
    </row>
    <row r="3" spans="2:15" x14ac:dyDescent="0.25">
      <c r="B3" s="8" t="s">
        <v>257</v>
      </c>
      <c r="C3" s="8" t="s">
        <v>312</v>
      </c>
    </row>
    <row r="4" spans="2:15" x14ac:dyDescent="0.25">
      <c r="B4" s="8" t="s">
        <v>288</v>
      </c>
      <c r="C4" t="s">
        <v>313</v>
      </c>
      <c r="D4" t="s">
        <v>314</v>
      </c>
      <c r="E4" t="s">
        <v>315</v>
      </c>
      <c r="F4" t="s">
        <v>316</v>
      </c>
      <c r="G4" t="s">
        <v>317</v>
      </c>
      <c r="H4" t="s">
        <v>318</v>
      </c>
      <c r="I4" t="s">
        <v>319</v>
      </c>
      <c r="J4" t="s">
        <v>320</v>
      </c>
      <c r="K4" t="s">
        <v>321</v>
      </c>
      <c r="L4" t="s">
        <v>322</v>
      </c>
      <c r="M4" t="s">
        <v>358</v>
      </c>
      <c r="N4" t="s">
        <v>323</v>
      </c>
      <c r="O4" t="s">
        <v>277</v>
      </c>
    </row>
    <row r="5" spans="2:15" x14ac:dyDescent="0.25">
      <c r="B5" s="28" t="s">
        <v>298</v>
      </c>
      <c r="C5" s="29"/>
      <c r="D5" s="29">
        <v>1</v>
      </c>
      <c r="E5" s="29">
        <v>2</v>
      </c>
      <c r="F5" s="29">
        <v>1</v>
      </c>
      <c r="G5" s="29">
        <v>1</v>
      </c>
      <c r="H5" s="29"/>
      <c r="I5" s="29">
        <v>2</v>
      </c>
      <c r="J5" s="29"/>
      <c r="K5" s="29"/>
      <c r="L5" s="29"/>
      <c r="M5" s="29">
        <v>3</v>
      </c>
      <c r="N5" s="29"/>
      <c r="O5" s="29">
        <v>1.75</v>
      </c>
    </row>
    <row r="6" spans="2:15" x14ac:dyDescent="0.25">
      <c r="B6" s="28" t="s">
        <v>299</v>
      </c>
      <c r="C6" s="29">
        <v>1</v>
      </c>
      <c r="D6" s="29"/>
      <c r="E6" s="29"/>
      <c r="F6" s="29"/>
      <c r="G6" s="29"/>
      <c r="H6" s="29">
        <v>1</v>
      </c>
      <c r="I6" s="29"/>
      <c r="J6" s="29"/>
      <c r="K6" s="29"/>
      <c r="L6" s="29"/>
      <c r="M6" s="29"/>
      <c r="N6" s="29"/>
      <c r="O6" s="29">
        <v>1</v>
      </c>
    </row>
    <row r="7" spans="2:15" x14ac:dyDescent="0.25">
      <c r="B7" s="28" t="s">
        <v>300</v>
      </c>
      <c r="C7" s="29">
        <v>1</v>
      </c>
      <c r="D7" s="29">
        <v>2</v>
      </c>
      <c r="E7" s="29">
        <v>1</v>
      </c>
      <c r="F7" s="29"/>
      <c r="G7" s="29"/>
      <c r="H7" s="29"/>
      <c r="I7" s="29"/>
      <c r="J7" s="29">
        <v>1</v>
      </c>
      <c r="K7" s="29"/>
      <c r="L7" s="29"/>
      <c r="M7" s="29"/>
      <c r="N7" s="29"/>
      <c r="O7" s="29">
        <v>1.2857142857142858</v>
      </c>
    </row>
    <row r="8" spans="2:15" x14ac:dyDescent="0.25">
      <c r="B8" s="28" t="s">
        <v>301</v>
      </c>
      <c r="C8" s="29"/>
      <c r="D8" s="29">
        <v>1</v>
      </c>
      <c r="E8" s="29"/>
      <c r="F8" s="29"/>
      <c r="G8" s="29"/>
      <c r="H8" s="29"/>
      <c r="I8" s="29"/>
      <c r="J8" s="29"/>
      <c r="K8" s="29">
        <v>1</v>
      </c>
      <c r="L8" s="29"/>
      <c r="M8" s="29"/>
      <c r="N8" s="29"/>
      <c r="O8" s="29">
        <v>1</v>
      </c>
    </row>
    <row r="9" spans="2:15" x14ac:dyDescent="0.25">
      <c r="B9" s="28" t="s">
        <v>302</v>
      </c>
      <c r="C9" s="29"/>
      <c r="D9" s="29"/>
      <c r="E9" s="29"/>
      <c r="F9" s="29"/>
      <c r="G9" s="29">
        <v>2</v>
      </c>
      <c r="H9" s="29">
        <v>4</v>
      </c>
      <c r="I9" s="29"/>
      <c r="J9" s="29"/>
      <c r="K9" s="29"/>
      <c r="L9" s="29"/>
      <c r="M9" s="29">
        <v>8</v>
      </c>
      <c r="N9" s="29">
        <v>9</v>
      </c>
      <c r="O9" s="29">
        <v>5.75</v>
      </c>
    </row>
    <row r="10" spans="2:15" x14ac:dyDescent="0.25">
      <c r="B10" s="28" t="s">
        <v>303</v>
      </c>
      <c r="C10" s="29">
        <v>1</v>
      </c>
      <c r="D10" s="29">
        <v>2</v>
      </c>
      <c r="E10" s="29">
        <v>2.6666666666666665</v>
      </c>
      <c r="F10" s="29"/>
      <c r="G10" s="29">
        <v>1</v>
      </c>
      <c r="H10" s="29"/>
      <c r="I10" s="29"/>
      <c r="J10" s="29"/>
      <c r="K10" s="29">
        <v>3</v>
      </c>
      <c r="L10" s="29">
        <v>2</v>
      </c>
      <c r="M10" s="29"/>
      <c r="N10" s="29"/>
      <c r="O10" s="29">
        <v>1.9</v>
      </c>
    </row>
    <row r="11" spans="2:15" x14ac:dyDescent="0.25">
      <c r="B11" s="28" t="s">
        <v>306</v>
      </c>
      <c r="C11" s="29">
        <v>2</v>
      </c>
      <c r="D11" s="29"/>
      <c r="E11" s="29">
        <v>3</v>
      </c>
      <c r="F11" s="29"/>
      <c r="G11" s="29"/>
      <c r="H11" s="29">
        <v>2</v>
      </c>
      <c r="I11" s="29">
        <v>1</v>
      </c>
      <c r="J11" s="29"/>
      <c r="K11" s="29"/>
      <c r="L11" s="29"/>
      <c r="M11" s="29"/>
      <c r="N11" s="29"/>
      <c r="O11" s="29">
        <v>2</v>
      </c>
    </row>
    <row r="12" spans="2:15" x14ac:dyDescent="0.25">
      <c r="B12" s="28" t="s">
        <v>307</v>
      </c>
      <c r="C12" s="29"/>
      <c r="D12" s="29"/>
      <c r="E12" s="29"/>
      <c r="F12" s="29">
        <v>1</v>
      </c>
      <c r="G12" s="29"/>
      <c r="H12" s="29"/>
      <c r="I12" s="29"/>
      <c r="J12" s="29"/>
      <c r="K12" s="29"/>
      <c r="L12" s="29"/>
      <c r="M12" s="29"/>
      <c r="N12" s="29"/>
      <c r="O12" s="29">
        <v>1</v>
      </c>
    </row>
    <row r="13" spans="2:15" x14ac:dyDescent="0.25">
      <c r="B13" s="28" t="s">
        <v>308</v>
      </c>
      <c r="C13" s="29"/>
      <c r="D13" s="29"/>
      <c r="E13" s="29"/>
      <c r="F13" s="29">
        <v>1</v>
      </c>
      <c r="G13" s="29"/>
      <c r="H13" s="29"/>
      <c r="I13" s="29"/>
      <c r="J13" s="29"/>
      <c r="K13" s="29"/>
      <c r="L13" s="29"/>
      <c r="M13" s="29"/>
      <c r="N13" s="29"/>
      <c r="O13" s="29">
        <v>1</v>
      </c>
    </row>
    <row r="14" spans="2:15" x14ac:dyDescent="0.25">
      <c r="B14" s="28" t="s">
        <v>309</v>
      </c>
      <c r="C14" s="29"/>
      <c r="D14" s="29"/>
      <c r="E14" s="29"/>
      <c r="F14" s="29"/>
      <c r="G14" s="29"/>
      <c r="H14" s="29"/>
      <c r="I14" s="29"/>
      <c r="J14" s="29"/>
      <c r="K14" s="29">
        <v>2.5</v>
      </c>
      <c r="L14" s="29">
        <v>3</v>
      </c>
      <c r="M14" s="29"/>
      <c r="N14" s="29"/>
      <c r="O14" s="29">
        <v>2.6666666666666665</v>
      </c>
    </row>
    <row r="15" spans="2:15" x14ac:dyDescent="0.25">
      <c r="B15" s="28" t="s">
        <v>355</v>
      </c>
      <c r="C15" s="29"/>
      <c r="D15" s="29"/>
      <c r="E15" s="29"/>
      <c r="F15" s="29"/>
      <c r="G15" s="29"/>
      <c r="H15" s="29"/>
      <c r="I15" s="29"/>
      <c r="J15" s="29">
        <v>3</v>
      </c>
      <c r="K15" s="29"/>
      <c r="L15" s="29"/>
      <c r="M15" s="29"/>
      <c r="N15" s="29"/>
      <c r="O15" s="29">
        <v>3</v>
      </c>
    </row>
    <row r="16" spans="2:15" x14ac:dyDescent="0.25">
      <c r="B16" s="28" t="s">
        <v>356</v>
      </c>
      <c r="C16" s="29"/>
      <c r="D16" s="29"/>
      <c r="E16" s="29"/>
      <c r="F16" s="29"/>
      <c r="G16" s="29"/>
      <c r="H16" s="29"/>
      <c r="I16" s="29"/>
      <c r="J16" s="29">
        <v>3</v>
      </c>
      <c r="K16" s="29"/>
      <c r="L16" s="29"/>
      <c r="M16" s="29"/>
      <c r="N16" s="29"/>
      <c r="O16" s="29">
        <v>3</v>
      </c>
    </row>
    <row r="17" spans="2:15" x14ac:dyDescent="0.25">
      <c r="B17" s="28" t="s">
        <v>310</v>
      </c>
      <c r="C17" s="29"/>
      <c r="D17" s="29"/>
      <c r="E17" s="29"/>
      <c r="F17" s="29"/>
      <c r="G17" s="29"/>
      <c r="H17" s="29"/>
      <c r="I17" s="29"/>
      <c r="J17" s="29">
        <v>5</v>
      </c>
      <c r="K17" s="29"/>
      <c r="L17" s="29"/>
      <c r="M17" s="29"/>
      <c r="N17" s="29"/>
      <c r="O17" s="29">
        <v>5</v>
      </c>
    </row>
    <row r="18" spans="2:15" x14ac:dyDescent="0.25">
      <c r="B18" s="28" t="s">
        <v>357</v>
      </c>
      <c r="C18" s="29"/>
      <c r="D18" s="29"/>
      <c r="E18" s="29"/>
      <c r="F18" s="29">
        <v>1</v>
      </c>
      <c r="G18" s="29"/>
      <c r="H18" s="29">
        <v>2</v>
      </c>
      <c r="I18" s="29"/>
      <c r="J18" s="29"/>
      <c r="K18" s="29"/>
      <c r="L18" s="29"/>
      <c r="M18" s="29"/>
      <c r="N18" s="29"/>
      <c r="O18" s="29">
        <v>1.6666666666666667</v>
      </c>
    </row>
    <row r="19" spans="2:15" x14ac:dyDescent="0.25">
      <c r="B19" s="28" t="s">
        <v>277</v>
      </c>
      <c r="C19" s="29">
        <v>1.1666666666666667</v>
      </c>
      <c r="D19" s="29">
        <v>1.6</v>
      </c>
      <c r="E19" s="29">
        <v>2.3333333333333335</v>
      </c>
      <c r="F19" s="29">
        <v>1</v>
      </c>
      <c r="G19" s="29">
        <v>1.2</v>
      </c>
      <c r="H19" s="29">
        <v>2.2000000000000002</v>
      </c>
      <c r="I19" s="29">
        <v>1.5</v>
      </c>
      <c r="J19" s="29">
        <v>3</v>
      </c>
      <c r="K19" s="29">
        <v>2.25</v>
      </c>
      <c r="L19" s="29">
        <v>2.5</v>
      </c>
      <c r="M19" s="29">
        <v>4.666666666666667</v>
      </c>
      <c r="N19" s="29">
        <v>9</v>
      </c>
      <c r="O19" s="29">
        <v>2.204081632653061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1904-608A-4520-A388-532EA238CCE8}">
  <sheetPr>
    <tabColor theme="9" tint="0.39997558519241921"/>
  </sheetPr>
  <dimension ref="B1:V19"/>
  <sheetViews>
    <sheetView workbookViewId="0">
      <selection activeCell="J14" sqref="J14"/>
    </sheetView>
  </sheetViews>
  <sheetFormatPr defaultRowHeight="15" x14ac:dyDescent="0.25"/>
  <cols>
    <col min="1" max="1" width="4" customWidth="1"/>
    <col min="2" max="2" width="24.28515625" bestFit="1" customWidth="1"/>
    <col min="3" max="3" width="17.7109375" bestFit="1" customWidth="1"/>
    <col min="4" max="5" width="5.7109375" bestFit="1" customWidth="1"/>
    <col min="6" max="21" width="7.7109375" bestFit="1" customWidth="1"/>
    <col min="22" max="23" width="18.28515625" bestFit="1" customWidth="1"/>
  </cols>
  <sheetData>
    <row r="1" spans="2:22" x14ac:dyDescent="0.25">
      <c r="B1" s="8" t="s">
        <v>3</v>
      </c>
      <c r="C1" t="s">
        <v>348</v>
      </c>
    </row>
    <row r="3" spans="2:22" x14ac:dyDescent="0.25">
      <c r="B3" s="8" t="s">
        <v>257</v>
      </c>
      <c r="C3" s="8" t="s">
        <v>359</v>
      </c>
    </row>
    <row r="4" spans="2:22" x14ac:dyDescent="0.25">
      <c r="B4" s="8" t="s">
        <v>339</v>
      </c>
      <c r="C4" t="s">
        <v>261</v>
      </c>
      <c r="D4" t="s">
        <v>262</v>
      </c>
      <c r="E4" t="s">
        <v>263</v>
      </c>
      <c r="F4" t="s">
        <v>264</v>
      </c>
      <c r="G4" t="s">
        <v>265</v>
      </c>
      <c r="H4" t="s">
        <v>266</v>
      </c>
      <c r="I4" t="s">
        <v>267</v>
      </c>
      <c r="J4" t="s">
        <v>268</v>
      </c>
      <c r="K4" t="s">
        <v>269</v>
      </c>
      <c r="L4" t="s">
        <v>270</v>
      </c>
      <c r="M4" t="s">
        <v>271</v>
      </c>
      <c r="N4" t="s">
        <v>350</v>
      </c>
      <c r="O4" t="s">
        <v>351</v>
      </c>
      <c r="P4" t="s">
        <v>352</v>
      </c>
      <c r="Q4" t="s">
        <v>273</v>
      </c>
      <c r="R4" t="s">
        <v>275</v>
      </c>
      <c r="S4" t="s">
        <v>353</v>
      </c>
      <c r="T4" t="s">
        <v>276</v>
      </c>
      <c r="U4" t="s">
        <v>354</v>
      </c>
      <c r="V4" t="s">
        <v>277</v>
      </c>
    </row>
    <row r="5" spans="2:22" x14ac:dyDescent="0.25">
      <c r="B5" s="33" t="s">
        <v>325</v>
      </c>
      <c r="C5" s="29">
        <v>1</v>
      </c>
      <c r="D5" s="29">
        <v>1</v>
      </c>
      <c r="E5" s="29">
        <v>1</v>
      </c>
      <c r="F5" s="29">
        <v>1</v>
      </c>
      <c r="G5" s="29">
        <v>2</v>
      </c>
      <c r="H5" s="29">
        <v>2</v>
      </c>
      <c r="I5" s="29"/>
      <c r="J5" s="29">
        <v>1</v>
      </c>
      <c r="K5" s="29">
        <v>1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>
        <v>1.2307692307692308</v>
      </c>
    </row>
    <row r="6" spans="2:22" x14ac:dyDescent="0.25">
      <c r="B6" s="33" t="s">
        <v>326</v>
      </c>
      <c r="C6" s="29"/>
      <c r="D6" s="29"/>
      <c r="E6" s="29"/>
      <c r="F6" s="29"/>
      <c r="G6" s="29">
        <v>1</v>
      </c>
      <c r="H6" s="29"/>
      <c r="I6" s="29">
        <v>2</v>
      </c>
      <c r="J6" s="29"/>
      <c r="K6" s="29"/>
      <c r="L6" s="29"/>
      <c r="M6" s="29"/>
      <c r="N6" s="29">
        <v>2</v>
      </c>
      <c r="O6" s="29"/>
      <c r="P6" s="29"/>
      <c r="Q6" s="29"/>
      <c r="R6" s="29"/>
      <c r="S6" s="29"/>
      <c r="T6" s="29"/>
      <c r="U6" s="29"/>
      <c r="V6" s="29">
        <v>1.6666666666666667</v>
      </c>
    </row>
    <row r="7" spans="2:22" x14ac:dyDescent="0.25">
      <c r="B7" s="33" t="s">
        <v>327</v>
      </c>
      <c r="C7" s="29"/>
      <c r="D7" s="29">
        <v>1</v>
      </c>
      <c r="E7" s="29"/>
      <c r="F7" s="29"/>
      <c r="G7" s="29"/>
      <c r="H7" s="29"/>
      <c r="I7" s="29">
        <v>2</v>
      </c>
      <c r="J7" s="29"/>
      <c r="K7" s="29"/>
      <c r="L7" s="29"/>
      <c r="M7" s="29">
        <v>3</v>
      </c>
      <c r="N7" s="29">
        <v>3</v>
      </c>
      <c r="O7" s="29"/>
      <c r="P7" s="29"/>
      <c r="Q7" s="29"/>
      <c r="R7" s="29">
        <v>8.5</v>
      </c>
      <c r="S7" s="29">
        <v>2</v>
      </c>
      <c r="T7" s="29"/>
      <c r="U7" s="29"/>
      <c r="V7" s="29">
        <v>3.4</v>
      </c>
    </row>
    <row r="8" spans="2:22" x14ac:dyDescent="0.25">
      <c r="B8" s="33" t="s">
        <v>328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>
        <v>3</v>
      </c>
      <c r="N8" s="29"/>
      <c r="O8" s="29"/>
      <c r="P8" s="29"/>
      <c r="Q8" s="29"/>
      <c r="R8" s="29"/>
      <c r="S8" s="29"/>
      <c r="T8" s="29">
        <v>3</v>
      </c>
      <c r="U8" s="29"/>
      <c r="V8" s="29">
        <v>3</v>
      </c>
    </row>
    <row r="9" spans="2:22" x14ac:dyDescent="0.25">
      <c r="B9" s="33" t="s">
        <v>329</v>
      </c>
      <c r="C9" s="29">
        <v>1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>
        <v>1</v>
      </c>
    </row>
    <row r="10" spans="2:22" x14ac:dyDescent="0.25">
      <c r="B10" s="33" t="s">
        <v>330</v>
      </c>
      <c r="C10" s="29"/>
      <c r="D10" s="29"/>
      <c r="E10" s="29"/>
      <c r="F10" s="29"/>
      <c r="G10" s="29"/>
      <c r="H10" s="29">
        <v>1.5</v>
      </c>
      <c r="I10" s="29"/>
      <c r="J10" s="29"/>
      <c r="K10" s="29"/>
      <c r="L10" s="29">
        <v>1</v>
      </c>
      <c r="M10" s="29"/>
      <c r="N10" s="29"/>
      <c r="O10" s="29"/>
      <c r="P10" s="29"/>
      <c r="Q10" s="29"/>
      <c r="R10" s="29"/>
      <c r="S10" s="29"/>
      <c r="T10" s="29"/>
      <c r="U10" s="29"/>
      <c r="V10" s="29">
        <v>1.25</v>
      </c>
    </row>
    <row r="11" spans="2:22" x14ac:dyDescent="0.25">
      <c r="B11" s="33" t="s">
        <v>332</v>
      </c>
      <c r="C11" s="29"/>
      <c r="D11" s="29"/>
      <c r="E11" s="29"/>
      <c r="F11" s="29"/>
      <c r="G11" s="29"/>
      <c r="H11" s="29">
        <v>1</v>
      </c>
      <c r="I11" s="29"/>
      <c r="J11" s="29"/>
      <c r="K11" s="29"/>
      <c r="L11" s="29"/>
      <c r="M11" s="29"/>
      <c r="N11" s="29"/>
      <c r="O11" s="29">
        <v>1</v>
      </c>
      <c r="P11" s="29"/>
      <c r="Q11" s="29"/>
      <c r="R11" s="29"/>
      <c r="S11" s="29"/>
      <c r="T11" s="29"/>
      <c r="U11" s="29"/>
      <c r="V11" s="29">
        <v>1</v>
      </c>
    </row>
    <row r="12" spans="2:22" x14ac:dyDescent="0.25">
      <c r="B12" s="33" t="s">
        <v>360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>
        <v>1</v>
      </c>
      <c r="P12" s="29"/>
      <c r="Q12" s="29"/>
      <c r="R12" s="29"/>
      <c r="S12" s="29"/>
      <c r="T12" s="29"/>
      <c r="U12" s="29">
        <v>4</v>
      </c>
      <c r="V12" s="29">
        <v>2.5</v>
      </c>
    </row>
    <row r="13" spans="2:22" x14ac:dyDescent="0.25">
      <c r="B13" s="33" t="s">
        <v>361</v>
      </c>
      <c r="C13" s="29"/>
      <c r="D13" s="29"/>
      <c r="E13" s="29"/>
      <c r="F13" s="29"/>
      <c r="G13" s="29"/>
      <c r="H13" s="29">
        <v>2</v>
      </c>
      <c r="I13" s="29"/>
      <c r="J13" s="29"/>
      <c r="K13" s="29"/>
      <c r="L13" s="29"/>
      <c r="M13" s="29"/>
      <c r="N13" s="29"/>
      <c r="O13" s="29"/>
      <c r="P13" s="29">
        <v>3</v>
      </c>
      <c r="Q13" s="29"/>
      <c r="R13" s="29"/>
      <c r="S13" s="29"/>
      <c r="T13" s="29"/>
      <c r="U13" s="29"/>
      <c r="V13" s="29">
        <v>2.5</v>
      </c>
    </row>
    <row r="14" spans="2:22" x14ac:dyDescent="0.25">
      <c r="B14" s="33" t="s">
        <v>334</v>
      </c>
      <c r="C14" s="29"/>
      <c r="D14" s="29"/>
      <c r="E14" s="29"/>
      <c r="F14" s="29"/>
      <c r="G14" s="29"/>
      <c r="H14" s="29">
        <v>2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>
        <v>5</v>
      </c>
      <c r="T14" s="29">
        <v>2</v>
      </c>
      <c r="U14" s="29"/>
      <c r="V14" s="29">
        <v>3.5</v>
      </c>
    </row>
    <row r="15" spans="2:22" x14ac:dyDescent="0.25">
      <c r="B15" s="33" t="s">
        <v>362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>
        <v>1</v>
      </c>
      <c r="U15" s="29"/>
      <c r="V15" s="29">
        <v>1</v>
      </c>
    </row>
    <row r="16" spans="2:22" x14ac:dyDescent="0.25">
      <c r="B16" s="33" t="s">
        <v>336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>
        <v>2.5</v>
      </c>
      <c r="N16" s="29"/>
      <c r="O16" s="29"/>
      <c r="P16" s="29"/>
      <c r="Q16" s="29">
        <v>3</v>
      </c>
      <c r="R16" s="29"/>
      <c r="S16" s="29"/>
      <c r="T16" s="29"/>
      <c r="U16" s="29"/>
      <c r="V16" s="29">
        <v>2.6666666666666665</v>
      </c>
    </row>
    <row r="17" spans="2:22" x14ac:dyDescent="0.25">
      <c r="B17" s="33" t="s">
        <v>363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>
        <v>3</v>
      </c>
      <c r="R17" s="29"/>
      <c r="S17" s="29"/>
      <c r="T17" s="29"/>
      <c r="U17" s="29"/>
      <c r="V17" s="29">
        <v>3</v>
      </c>
    </row>
    <row r="18" spans="2:22" x14ac:dyDescent="0.25">
      <c r="B18" s="33" t="s">
        <v>364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>
        <v>3</v>
      </c>
      <c r="N18" s="29"/>
      <c r="O18" s="29"/>
      <c r="P18" s="29"/>
      <c r="Q18" s="29"/>
      <c r="R18" s="29"/>
      <c r="S18" s="29"/>
      <c r="T18" s="29"/>
      <c r="U18" s="29"/>
      <c r="V18" s="29">
        <v>3</v>
      </c>
    </row>
    <row r="19" spans="2:22" x14ac:dyDescent="0.25">
      <c r="B19" s="33" t="s">
        <v>277</v>
      </c>
      <c r="C19" s="29">
        <v>1</v>
      </c>
      <c r="D19" s="29">
        <v>1</v>
      </c>
      <c r="E19" s="29">
        <v>1</v>
      </c>
      <c r="F19" s="29">
        <v>1</v>
      </c>
      <c r="G19" s="29">
        <v>1.6666666666666667</v>
      </c>
      <c r="H19" s="29">
        <v>1.6666666666666667</v>
      </c>
      <c r="I19" s="29">
        <v>2</v>
      </c>
      <c r="J19" s="29">
        <v>1</v>
      </c>
      <c r="K19" s="29">
        <v>1</v>
      </c>
      <c r="L19" s="29">
        <v>1</v>
      </c>
      <c r="M19" s="29">
        <v>2.8333333333333335</v>
      </c>
      <c r="N19" s="29">
        <v>2.5</v>
      </c>
      <c r="O19" s="29">
        <v>1</v>
      </c>
      <c r="P19" s="29">
        <v>3</v>
      </c>
      <c r="Q19" s="29">
        <v>3</v>
      </c>
      <c r="R19" s="29">
        <v>8.5</v>
      </c>
      <c r="S19" s="29">
        <v>4</v>
      </c>
      <c r="T19" s="29">
        <v>2</v>
      </c>
      <c r="U19" s="29">
        <v>4</v>
      </c>
      <c r="V19" s="29">
        <v>2.204081632653061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FA4E-9905-485A-B82B-DC7D5D01214C}">
  <sheetPr>
    <tabColor theme="9" tint="0.39997558519241921"/>
  </sheetPr>
  <dimension ref="B1:V25"/>
  <sheetViews>
    <sheetView workbookViewId="0">
      <selection activeCell="V30" sqref="V30"/>
    </sheetView>
  </sheetViews>
  <sheetFormatPr defaultRowHeight="15" x14ac:dyDescent="0.25"/>
  <cols>
    <col min="1" max="1" width="4" customWidth="1"/>
    <col min="2" max="2" width="24.28515625" bestFit="1" customWidth="1"/>
    <col min="3" max="3" width="17.7109375" bestFit="1" customWidth="1"/>
    <col min="4" max="5" width="5.7109375" bestFit="1" customWidth="1"/>
    <col min="6" max="21" width="7.7109375" bestFit="1" customWidth="1"/>
    <col min="22" max="23" width="18.28515625" bestFit="1" customWidth="1"/>
  </cols>
  <sheetData>
    <row r="1" spans="2:22" x14ac:dyDescent="0.25">
      <c r="B1" s="8" t="s">
        <v>3</v>
      </c>
      <c r="C1" t="s">
        <v>348</v>
      </c>
    </row>
    <row r="3" spans="2:22" x14ac:dyDescent="0.25">
      <c r="B3" s="8" t="s">
        <v>257</v>
      </c>
      <c r="C3" s="8" t="s">
        <v>359</v>
      </c>
    </row>
    <row r="4" spans="2:22" x14ac:dyDescent="0.25">
      <c r="B4" s="8" t="s">
        <v>339</v>
      </c>
      <c r="C4" t="s">
        <v>261</v>
      </c>
      <c r="D4" t="s">
        <v>262</v>
      </c>
      <c r="E4" t="s">
        <v>263</v>
      </c>
      <c r="F4" t="s">
        <v>264</v>
      </c>
      <c r="G4" t="s">
        <v>265</v>
      </c>
      <c r="H4" t="s">
        <v>266</v>
      </c>
      <c r="I4" t="s">
        <v>267</v>
      </c>
      <c r="J4" t="s">
        <v>268</v>
      </c>
      <c r="K4" t="s">
        <v>269</v>
      </c>
      <c r="L4" t="s">
        <v>270</v>
      </c>
      <c r="M4" t="s">
        <v>271</v>
      </c>
      <c r="N4" t="s">
        <v>350</v>
      </c>
      <c r="O4" t="s">
        <v>351</v>
      </c>
      <c r="P4" t="s">
        <v>352</v>
      </c>
      <c r="Q4" t="s">
        <v>273</v>
      </c>
      <c r="R4" t="s">
        <v>275</v>
      </c>
      <c r="S4" t="s">
        <v>353</v>
      </c>
      <c r="T4" t="s">
        <v>276</v>
      </c>
      <c r="U4" t="s">
        <v>354</v>
      </c>
      <c r="V4" t="s">
        <v>277</v>
      </c>
    </row>
    <row r="5" spans="2:22" x14ac:dyDescent="0.25">
      <c r="B5" s="28" t="s">
        <v>278</v>
      </c>
      <c r="C5" s="29">
        <v>1</v>
      </c>
      <c r="D5" s="29">
        <v>1</v>
      </c>
      <c r="E5" s="29">
        <v>1</v>
      </c>
      <c r="F5" s="29"/>
      <c r="G5" s="29"/>
      <c r="H5" s="29"/>
      <c r="I5" s="29"/>
      <c r="J5" s="29">
        <v>1</v>
      </c>
      <c r="K5" s="29">
        <v>1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>
        <v>1</v>
      </c>
    </row>
    <row r="6" spans="2:22" x14ac:dyDescent="0.25">
      <c r="B6" s="28" t="s">
        <v>279</v>
      </c>
      <c r="C6" s="29">
        <v>1</v>
      </c>
      <c r="D6" s="29">
        <v>1</v>
      </c>
      <c r="E6" s="29"/>
      <c r="F6" s="29">
        <v>1</v>
      </c>
      <c r="G6" s="29"/>
      <c r="H6" s="29">
        <v>2</v>
      </c>
      <c r="I6" s="29"/>
      <c r="J6" s="29"/>
      <c r="K6" s="29"/>
      <c r="L6" s="29"/>
      <c r="M6" s="29"/>
      <c r="N6" s="29">
        <v>2</v>
      </c>
      <c r="O6" s="29"/>
      <c r="P6" s="29"/>
      <c r="Q6" s="29"/>
      <c r="R6" s="29"/>
      <c r="S6" s="29"/>
      <c r="T6" s="29"/>
      <c r="U6" s="29"/>
      <c r="V6" s="29">
        <v>1.25</v>
      </c>
    </row>
    <row r="7" spans="2:22" x14ac:dyDescent="0.25">
      <c r="B7" s="28" t="s">
        <v>280</v>
      </c>
      <c r="C7" s="29"/>
      <c r="D7" s="29"/>
      <c r="E7" s="29"/>
      <c r="F7" s="29"/>
      <c r="G7" s="29">
        <v>1.6666666666666667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>
        <v>1.6666666666666667</v>
      </c>
    </row>
    <row r="8" spans="2:22" x14ac:dyDescent="0.25">
      <c r="B8" s="28" t="s">
        <v>281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>
        <v>2</v>
      </c>
      <c r="T8" s="29"/>
      <c r="U8" s="29"/>
      <c r="V8" s="29">
        <v>2</v>
      </c>
    </row>
    <row r="9" spans="2:22" x14ac:dyDescent="0.25">
      <c r="B9" s="28" t="s">
        <v>340</v>
      </c>
      <c r="C9" s="29"/>
      <c r="D9" s="29">
        <v>1</v>
      </c>
      <c r="E9" s="29"/>
      <c r="F9" s="29"/>
      <c r="G9" s="29"/>
      <c r="H9" s="29"/>
      <c r="I9" s="29">
        <v>2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>
        <v>1.3333333333333333</v>
      </c>
    </row>
    <row r="10" spans="2:22" x14ac:dyDescent="0.25">
      <c r="B10" s="28" t="s">
        <v>283</v>
      </c>
      <c r="C10" s="29"/>
      <c r="D10" s="29"/>
      <c r="E10" s="29"/>
      <c r="F10" s="29"/>
      <c r="G10" s="29"/>
      <c r="H10" s="29"/>
      <c r="I10" s="29">
        <v>2</v>
      </c>
      <c r="J10" s="29"/>
      <c r="K10" s="29"/>
      <c r="L10" s="29">
        <v>1</v>
      </c>
      <c r="M10" s="29">
        <v>3</v>
      </c>
      <c r="N10" s="29">
        <v>3</v>
      </c>
      <c r="O10" s="29"/>
      <c r="P10" s="29"/>
      <c r="Q10" s="29"/>
      <c r="R10" s="29"/>
      <c r="S10" s="29"/>
      <c r="T10" s="29"/>
      <c r="U10" s="29"/>
      <c r="V10" s="29">
        <v>2.25</v>
      </c>
    </row>
    <row r="11" spans="2:22" x14ac:dyDescent="0.25">
      <c r="B11" s="28" t="s">
        <v>341</v>
      </c>
      <c r="C11" s="29"/>
      <c r="D11" s="29"/>
      <c r="E11" s="29"/>
      <c r="F11" s="29"/>
      <c r="G11" s="29"/>
      <c r="H11" s="29">
        <v>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>
        <v>3</v>
      </c>
      <c r="U11" s="29"/>
      <c r="V11" s="29">
        <v>2</v>
      </c>
    </row>
    <row r="12" spans="2:22" x14ac:dyDescent="0.25">
      <c r="B12" s="28" t="s">
        <v>342</v>
      </c>
      <c r="C12" s="29"/>
      <c r="D12" s="29"/>
      <c r="E12" s="29"/>
      <c r="F12" s="29"/>
      <c r="G12" s="29"/>
      <c r="H12" s="29">
        <v>2</v>
      </c>
      <c r="I12" s="29"/>
      <c r="J12" s="29"/>
      <c r="K12" s="29"/>
      <c r="L12" s="29"/>
      <c r="M12" s="29"/>
      <c r="N12" s="29"/>
      <c r="O12" s="29"/>
      <c r="P12" s="29"/>
      <c r="Q12" s="29"/>
      <c r="R12" s="29">
        <v>8.5</v>
      </c>
      <c r="S12" s="29"/>
      <c r="T12" s="29"/>
      <c r="U12" s="29"/>
      <c r="V12" s="29">
        <v>6.333333333333333</v>
      </c>
    </row>
    <row r="13" spans="2:22" x14ac:dyDescent="0.25">
      <c r="B13" s="28" t="s">
        <v>343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>
        <v>4</v>
      </c>
      <c r="V13" s="29">
        <v>4</v>
      </c>
    </row>
    <row r="14" spans="2:22" x14ac:dyDescent="0.25">
      <c r="B14" s="28" t="s">
        <v>285</v>
      </c>
      <c r="C14" s="29"/>
      <c r="D14" s="29"/>
      <c r="E14" s="29"/>
      <c r="F14" s="29"/>
      <c r="G14" s="29"/>
      <c r="H14" s="29">
        <v>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>
        <v>1</v>
      </c>
    </row>
    <row r="15" spans="2:22" x14ac:dyDescent="0.25">
      <c r="B15" s="28" t="s">
        <v>365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>
        <v>1</v>
      </c>
      <c r="P15" s="29"/>
      <c r="Q15" s="29"/>
      <c r="R15" s="29"/>
      <c r="S15" s="29"/>
      <c r="T15" s="29"/>
      <c r="U15" s="29"/>
      <c r="V15" s="29">
        <v>1</v>
      </c>
    </row>
    <row r="16" spans="2:22" x14ac:dyDescent="0.25">
      <c r="B16" s="28" t="s">
        <v>366</v>
      </c>
      <c r="C16" s="29"/>
      <c r="D16" s="29"/>
      <c r="E16" s="29"/>
      <c r="F16" s="29"/>
      <c r="G16" s="29"/>
      <c r="H16" s="29">
        <v>2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>
        <v>2</v>
      </c>
    </row>
    <row r="17" spans="2:22" x14ac:dyDescent="0.25">
      <c r="B17" s="28" t="s">
        <v>344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>
        <v>2</v>
      </c>
      <c r="U17" s="29"/>
      <c r="V17" s="29">
        <v>2</v>
      </c>
    </row>
    <row r="18" spans="2:22" x14ac:dyDescent="0.25">
      <c r="B18" s="28" t="s">
        <v>367</v>
      </c>
      <c r="C18" s="29"/>
      <c r="D18" s="29"/>
      <c r="E18" s="29"/>
      <c r="F18" s="29"/>
      <c r="G18" s="29"/>
      <c r="H18" s="29">
        <v>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>
        <v>2</v>
      </c>
    </row>
    <row r="19" spans="2:22" x14ac:dyDescent="0.25">
      <c r="B19" s="28" t="s">
        <v>345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>
        <v>1</v>
      </c>
      <c r="U19" s="29"/>
      <c r="V19" s="29">
        <v>1</v>
      </c>
    </row>
    <row r="20" spans="2:22" x14ac:dyDescent="0.25">
      <c r="B20" s="28" t="s">
        <v>368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>
        <v>2.5</v>
      </c>
      <c r="N20" s="29"/>
      <c r="O20" s="29"/>
      <c r="P20" s="29"/>
      <c r="Q20" s="29"/>
      <c r="R20" s="29"/>
      <c r="S20" s="29"/>
      <c r="T20" s="29"/>
      <c r="U20" s="29"/>
      <c r="V20" s="29">
        <v>2.5</v>
      </c>
    </row>
    <row r="21" spans="2:22" x14ac:dyDescent="0.25">
      <c r="B21" s="28" t="s">
        <v>369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>
        <v>3</v>
      </c>
      <c r="N21" s="29"/>
      <c r="O21" s="29"/>
      <c r="P21" s="29"/>
      <c r="Q21" s="29"/>
      <c r="R21" s="29"/>
      <c r="S21" s="29"/>
      <c r="T21" s="29"/>
      <c r="U21" s="29"/>
      <c r="V21" s="29">
        <v>3</v>
      </c>
    </row>
    <row r="22" spans="2:22" x14ac:dyDescent="0.25">
      <c r="B22" s="28" t="s">
        <v>370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>
        <v>3</v>
      </c>
      <c r="Q22" s="29"/>
      <c r="R22" s="29"/>
      <c r="S22" s="29">
        <v>5</v>
      </c>
      <c r="T22" s="29"/>
      <c r="U22" s="29"/>
      <c r="V22" s="29">
        <v>4</v>
      </c>
    </row>
    <row r="23" spans="2:22" x14ac:dyDescent="0.25">
      <c r="B23" s="28" t="s">
        <v>371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>
        <v>5</v>
      </c>
      <c r="T23" s="29"/>
      <c r="U23" s="29"/>
      <c r="V23" s="29">
        <v>5</v>
      </c>
    </row>
    <row r="24" spans="2:22" x14ac:dyDescent="0.25">
      <c r="B24" s="28" t="s">
        <v>372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>
        <v>3</v>
      </c>
      <c r="R24" s="29"/>
      <c r="S24" s="29"/>
      <c r="T24" s="29"/>
      <c r="U24" s="29"/>
      <c r="V24" s="29">
        <v>3</v>
      </c>
    </row>
    <row r="25" spans="2:22" x14ac:dyDescent="0.25">
      <c r="B25" s="28" t="s">
        <v>277</v>
      </c>
      <c r="C25" s="29">
        <v>1</v>
      </c>
      <c r="D25" s="29">
        <v>1</v>
      </c>
      <c r="E25" s="29">
        <v>1</v>
      </c>
      <c r="F25" s="29">
        <v>1</v>
      </c>
      <c r="G25" s="29">
        <v>1.6666666666666667</v>
      </c>
      <c r="H25" s="29">
        <v>1.6666666666666667</v>
      </c>
      <c r="I25" s="29">
        <v>2</v>
      </c>
      <c r="J25" s="29">
        <v>1</v>
      </c>
      <c r="K25" s="29">
        <v>1</v>
      </c>
      <c r="L25" s="29">
        <v>1</v>
      </c>
      <c r="M25" s="29">
        <v>2.8333333333333335</v>
      </c>
      <c r="N25" s="29">
        <v>2.5</v>
      </c>
      <c r="O25" s="29">
        <v>1</v>
      </c>
      <c r="P25" s="29">
        <v>3</v>
      </c>
      <c r="Q25" s="29">
        <v>3</v>
      </c>
      <c r="R25" s="29">
        <v>8.5</v>
      </c>
      <c r="S25" s="29">
        <v>4</v>
      </c>
      <c r="T25" s="29">
        <v>2</v>
      </c>
      <c r="U25" s="29">
        <v>4</v>
      </c>
      <c r="V25" s="29">
        <v>2.204081632653061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9609-CACE-4F6F-9D95-9DACB2D78EA3}">
  <sheetPr>
    <tabColor theme="6" tint="0.59999389629810485"/>
  </sheetPr>
  <dimension ref="A1:CN170"/>
  <sheetViews>
    <sheetView zoomScale="80" zoomScaleNormal="80" workbookViewId="0">
      <selection activeCell="K23" sqref="K23"/>
    </sheetView>
  </sheetViews>
  <sheetFormatPr defaultColWidth="8.85546875" defaultRowHeight="15" x14ac:dyDescent="0.25"/>
  <cols>
    <col min="1" max="1" width="19" style="10" bestFit="1" customWidth="1"/>
    <col min="2" max="2" width="12.140625" style="3" bestFit="1" customWidth="1"/>
    <col min="3" max="6" width="6.140625" style="3" bestFit="1" customWidth="1"/>
    <col min="7" max="21" width="8.28515625" style="3" bestFit="1" customWidth="1"/>
    <col min="22" max="22" width="17.85546875" style="3" bestFit="1" customWidth="1"/>
    <col min="23" max="23" width="12.7109375" style="3" bestFit="1" customWidth="1"/>
    <col min="24" max="30" width="8.28515625" style="3" bestFit="1" customWidth="1"/>
    <col min="31" max="31" width="12.7109375" style="3" bestFit="1" customWidth="1"/>
    <col min="32" max="35" width="8.28515625" style="3" bestFit="1" customWidth="1"/>
    <col min="36" max="36" width="17.85546875" style="3" bestFit="1" customWidth="1"/>
    <col min="37" max="44" width="4.28515625" style="3" bestFit="1" customWidth="1"/>
    <col min="45" max="45" width="17.85546875" style="3" bestFit="1" customWidth="1"/>
    <col min="46" max="60" width="4.28515625" style="3" bestFit="1" customWidth="1"/>
    <col min="61" max="61" width="7.28515625" style="3" bestFit="1" customWidth="1"/>
    <col min="62" max="63" width="4.28515625" style="3" bestFit="1" customWidth="1"/>
    <col min="64" max="64" width="17.85546875" style="3" bestFit="1" customWidth="1"/>
    <col min="65" max="16384" width="8.85546875" style="3"/>
  </cols>
  <sheetData>
    <row r="1" spans="1:92" x14ac:dyDescent="0.25">
      <c r="A1" s="31" t="s">
        <v>3</v>
      </c>
      <c r="B1" s="3" t="s">
        <v>21</v>
      </c>
    </row>
    <row r="3" spans="1:92" x14ac:dyDescent="0.25">
      <c r="A3" s="31" t="s">
        <v>373</v>
      </c>
      <c r="B3" s="30" t="s">
        <v>374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 spans="1:92" ht="14.45" customHeight="1" x14ac:dyDescent="0.25">
      <c r="A4" s="31" t="s">
        <v>375</v>
      </c>
      <c r="B4" s="3" t="s">
        <v>376</v>
      </c>
      <c r="C4" s="3" t="s">
        <v>377</v>
      </c>
      <c r="D4" s="3" t="s">
        <v>378</v>
      </c>
      <c r="E4" s="3" t="s">
        <v>379</v>
      </c>
      <c r="F4" s="3" t="s">
        <v>380</v>
      </c>
      <c r="G4" s="3" t="s">
        <v>381</v>
      </c>
      <c r="H4" s="3" t="s">
        <v>382</v>
      </c>
      <c r="I4" s="3" t="s">
        <v>383</v>
      </c>
      <c r="J4" s="3" t="s">
        <v>384</v>
      </c>
      <c r="K4" s="3" t="s">
        <v>385</v>
      </c>
      <c r="L4" s="3" t="s">
        <v>386</v>
      </c>
      <c r="M4" s="3" t="s">
        <v>387</v>
      </c>
      <c r="N4" s="3" t="s">
        <v>388</v>
      </c>
      <c r="O4" s="3" t="s">
        <v>389</v>
      </c>
      <c r="P4" s="3" t="s">
        <v>390</v>
      </c>
      <c r="Q4" s="3" t="s">
        <v>391</v>
      </c>
      <c r="R4" s="3" t="s">
        <v>392</v>
      </c>
      <c r="S4" s="3" t="s">
        <v>393</v>
      </c>
      <c r="T4" s="3" t="s">
        <v>394</v>
      </c>
      <c r="U4" s="3" t="s">
        <v>395</v>
      </c>
      <c r="V4" s="3" t="s">
        <v>277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92" ht="14.45" customHeight="1" x14ac:dyDescent="0.25">
      <c r="A5" s="3" t="s">
        <v>396</v>
      </c>
      <c r="B5" s="4">
        <v>2</v>
      </c>
      <c r="C5" s="4">
        <v>4</v>
      </c>
      <c r="D5" s="4">
        <v>3</v>
      </c>
      <c r="E5" s="4">
        <v>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>
        <v>2.6666666666666665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P5" s="34" t="s">
        <v>397</v>
      </c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</row>
    <row r="6" spans="1:92" ht="14.45" customHeight="1" x14ac:dyDescent="0.25">
      <c r="A6" s="3" t="s">
        <v>398</v>
      </c>
      <c r="B6" s="4"/>
      <c r="C6" s="4">
        <v>4</v>
      </c>
      <c r="D6" s="4">
        <v>4</v>
      </c>
      <c r="E6" s="4">
        <v>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>
        <v>4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</row>
    <row r="7" spans="1:92" ht="14.45" customHeight="1" x14ac:dyDescent="0.25">
      <c r="A7" s="3" t="s">
        <v>399</v>
      </c>
      <c r="B7" s="4"/>
      <c r="C7" s="4"/>
      <c r="D7" s="4">
        <v>4.333333333333333</v>
      </c>
      <c r="E7" s="4">
        <v>5</v>
      </c>
      <c r="F7" s="4">
        <v>5.6</v>
      </c>
      <c r="G7" s="4">
        <v>6</v>
      </c>
      <c r="H7" s="4">
        <v>6.666666666666667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>
        <v>5.4666666666666668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</row>
    <row r="8" spans="1:92" ht="14.45" customHeight="1" x14ac:dyDescent="0.25">
      <c r="A8" s="3" t="s">
        <v>400</v>
      </c>
      <c r="B8" s="4">
        <v>1</v>
      </c>
      <c r="C8" s="4"/>
      <c r="D8" s="4">
        <v>3</v>
      </c>
      <c r="E8" s="4"/>
      <c r="F8" s="4">
        <v>4.5</v>
      </c>
      <c r="G8" s="4">
        <v>6.333333333333333</v>
      </c>
      <c r="H8" s="4">
        <v>8.3333333333333339</v>
      </c>
      <c r="I8" s="4"/>
      <c r="J8" s="4">
        <v>10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>
        <v>5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</row>
    <row r="9" spans="1:92" ht="14.45" customHeight="1" x14ac:dyDescent="0.25">
      <c r="A9" s="3" t="s">
        <v>401</v>
      </c>
      <c r="B9" s="4">
        <v>4</v>
      </c>
      <c r="C9" s="4">
        <v>4</v>
      </c>
      <c r="D9" s="4"/>
      <c r="E9" s="4"/>
      <c r="F9" s="4"/>
      <c r="G9" s="4">
        <v>8</v>
      </c>
      <c r="H9" s="4"/>
      <c r="I9" s="4"/>
      <c r="J9" s="4"/>
      <c r="K9" s="4">
        <v>10</v>
      </c>
      <c r="L9" s="4"/>
      <c r="M9" s="4"/>
      <c r="N9" s="4"/>
      <c r="O9" s="4"/>
      <c r="P9" s="4"/>
      <c r="Q9" s="4"/>
      <c r="R9" s="4"/>
      <c r="S9" s="4"/>
      <c r="T9" s="4"/>
      <c r="U9" s="4"/>
      <c r="V9" s="4">
        <v>6.5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</row>
    <row r="10" spans="1:92" ht="14.45" customHeight="1" x14ac:dyDescent="0.25">
      <c r="A10" s="3" t="s">
        <v>402</v>
      </c>
      <c r="B10" s="4"/>
      <c r="C10" s="4"/>
      <c r="D10" s="4"/>
      <c r="E10" s="4">
        <v>5</v>
      </c>
      <c r="F10" s="4"/>
      <c r="G10" s="4">
        <v>7.666666666666667</v>
      </c>
      <c r="H10" s="4"/>
      <c r="I10" s="4">
        <v>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>
        <v>7.4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</row>
    <row r="11" spans="1:92" ht="14.45" customHeight="1" x14ac:dyDescent="0.25">
      <c r="A11" s="3" t="s">
        <v>403</v>
      </c>
      <c r="B11" s="4"/>
      <c r="C11" s="4"/>
      <c r="D11" s="4"/>
      <c r="E11" s="4"/>
      <c r="F11" s="4">
        <v>7</v>
      </c>
      <c r="G11" s="4">
        <v>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>
        <v>7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</row>
    <row r="12" spans="1:92" ht="14.45" customHeight="1" x14ac:dyDescent="0.25">
      <c r="A12" s="3" t="s">
        <v>404</v>
      </c>
      <c r="B12" s="4"/>
      <c r="C12" s="4"/>
      <c r="D12" s="4">
        <v>4</v>
      </c>
      <c r="E12" s="4">
        <v>5</v>
      </c>
      <c r="F12" s="4"/>
      <c r="G12" s="4"/>
      <c r="H12" s="4">
        <v>8</v>
      </c>
      <c r="I12" s="4">
        <v>18</v>
      </c>
      <c r="J12" s="4"/>
      <c r="K12" s="4"/>
      <c r="L12" s="4"/>
      <c r="M12" s="4">
        <v>14</v>
      </c>
      <c r="N12" s="4"/>
      <c r="O12" s="4"/>
      <c r="P12" s="4"/>
      <c r="Q12" s="4"/>
      <c r="R12" s="4"/>
      <c r="S12" s="4"/>
      <c r="T12" s="4"/>
      <c r="U12" s="4"/>
      <c r="V12" s="4">
        <v>9.8000000000000007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</row>
    <row r="13" spans="1:92" x14ac:dyDescent="0.25">
      <c r="A13" s="3" t="s">
        <v>405</v>
      </c>
      <c r="B13" s="4">
        <v>4</v>
      </c>
      <c r="C13" s="4"/>
      <c r="D13" s="4"/>
      <c r="E13" s="4">
        <v>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>
        <v>5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92" x14ac:dyDescent="0.25">
      <c r="A14" s="3" t="s">
        <v>406</v>
      </c>
      <c r="B14" s="4"/>
      <c r="C14" s="4"/>
      <c r="D14" s="4"/>
      <c r="E14" s="4"/>
      <c r="F14" s="4"/>
      <c r="G14" s="4">
        <v>12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>
        <v>12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1:92" x14ac:dyDescent="0.25">
      <c r="A15" s="3" t="s">
        <v>407</v>
      </c>
      <c r="B15" s="4"/>
      <c r="C15" s="4"/>
      <c r="D15" s="4"/>
      <c r="E15" s="4"/>
      <c r="F15" s="4"/>
      <c r="G15" s="4"/>
      <c r="H15" s="4"/>
      <c r="I15" s="4">
        <v>12</v>
      </c>
      <c r="J15" s="4"/>
      <c r="K15" s="4"/>
      <c r="L15" s="4"/>
      <c r="M15" s="4"/>
      <c r="N15" s="4">
        <v>15</v>
      </c>
      <c r="O15" s="4"/>
      <c r="P15" s="4"/>
      <c r="Q15" s="4"/>
      <c r="R15" s="4"/>
      <c r="S15" s="4"/>
      <c r="T15" s="4"/>
      <c r="U15" s="4"/>
      <c r="V15" s="4">
        <v>13.5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1:92" x14ac:dyDescent="0.25">
      <c r="A16" s="3" t="s">
        <v>408</v>
      </c>
      <c r="B16" s="4"/>
      <c r="C16" s="4"/>
      <c r="D16" s="4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>
        <v>26</v>
      </c>
      <c r="R16" s="4"/>
      <c r="S16" s="4"/>
      <c r="T16" s="4"/>
      <c r="U16" s="4"/>
      <c r="V16" s="4">
        <v>15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:64" x14ac:dyDescent="0.25">
      <c r="A17" s="3" t="s">
        <v>409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>
        <v>30</v>
      </c>
      <c r="R17" s="4"/>
      <c r="S17" s="4"/>
      <c r="T17" s="4"/>
      <c r="U17" s="4"/>
      <c r="V17" s="4">
        <v>30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1:64" x14ac:dyDescent="0.25">
      <c r="A18" s="3" t="s">
        <v>410</v>
      </c>
      <c r="B18" s="4"/>
      <c r="C18" s="4"/>
      <c r="D18" s="4"/>
      <c r="E18" s="4">
        <v>5</v>
      </c>
      <c r="F18" s="4"/>
      <c r="G18" s="4">
        <v>6</v>
      </c>
      <c r="H18" s="4">
        <v>8</v>
      </c>
      <c r="I18" s="4">
        <v>9</v>
      </c>
      <c r="J18" s="4"/>
      <c r="K18" s="4"/>
      <c r="L18" s="4"/>
      <c r="M18" s="4"/>
      <c r="N18" s="4"/>
      <c r="O18" s="4"/>
      <c r="P18" s="4"/>
      <c r="Q18" s="4">
        <v>26</v>
      </c>
      <c r="R18" s="4"/>
      <c r="S18" s="4"/>
      <c r="T18" s="4"/>
      <c r="U18" s="4"/>
      <c r="V18" s="4">
        <v>10.8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1:64" x14ac:dyDescent="0.25">
      <c r="A19" s="3" t="s">
        <v>411</v>
      </c>
      <c r="B19" s="4"/>
      <c r="C19" s="4"/>
      <c r="D19" s="4"/>
      <c r="E19" s="4"/>
      <c r="F19" s="4"/>
      <c r="G19" s="4">
        <v>6</v>
      </c>
      <c r="H19" s="4"/>
      <c r="I19" s="4">
        <v>9.5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>
        <v>7.75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64" x14ac:dyDescent="0.25">
      <c r="A20" s="3" t="s">
        <v>412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>
        <v>18</v>
      </c>
      <c r="O20" s="4"/>
      <c r="P20" s="4"/>
      <c r="Q20" s="4"/>
      <c r="R20" s="4"/>
      <c r="S20" s="4"/>
      <c r="T20" s="4"/>
      <c r="U20" s="4"/>
      <c r="V20" s="4">
        <v>18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1:64" x14ac:dyDescent="0.25">
      <c r="A21" s="3" t="s">
        <v>413</v>
      </c>
      <c r="B21" s="4"/>
      <c r="C21" s="4"/>
      <c r="D21" s="4"/>
      <c r="E21" s="4">
        <v>6</v>
      </c>
      <c r="F21" s="4">
        <v>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>
        <v>6.5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1:64" x14ac:dyDescent="0.25">
      <c r="A22" s="3" t="s">
        <v>414</v>
      </c>
      <c r="B22" s="4"/>
      <c r="C22" s="4"/>
      <c r="D22" s="4"/>
      <c r="E22" s="4">
        <v>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>
        <v>8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1:64" x14ac:dyDescent="0.25">
      <c r="A23" s="3" t="s">
        <v>415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>
        <v>14</v>
      </c>
      <c r="M23" s="4"/>
      <c r="N23" s="4"/>
      <c r="O23" s="4"/>
      <c r="P23" s="4"/>
      <c r="Q23" s="4"/>
      <c r="R23" s="4"/>
      <c r="S23" s="4"/>
      <c r="T23" s="4">
        <v>39</v>
      </c>
      <c r="U23" s="4"/>
      <c r="V23" s="4">
        <v>26.5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:64" x14ac:dyDescent="0.25">
      <c r="A24" s="3" t="s">
        <v>416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>
        <v>11</v>
      </c>
      <c r="M24" s="4"/>
      <c r="N24" s="4"/>
      <c r="O24" s="4"/>
      <c r="P24" s="4"/>
      <c r="Q24" s="4"/>
      <c r="R24" s="4"/>
      <c r="S24" s="4"/>
      <c r="T24" s="4"/>
      <c r="U24" s="4"/>
      <c r="V24" s="4">
        <v>11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1:64" x14ac:dyDescent="0.25">
      <c r="A25" s="3" t="s">
        <v>417</v>
      </c>
      <c r="B25" s="4"/>
      <c r="C25" s="4"/>
      <c r="D25" s="4"/>
      <c r="E25" s="4">
        <v>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>
        <v>8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1:64" x14ac:dyDescent="0.25">
      <c r="A26" s="3" t="s">
        <v>418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>
        <v>44</v>
      </c>
      <c r="V26" s="4">
        <v>44</v>
      </c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1:64" x14ac:dyDescent="0.25">
      <c r="A27" s="3" t="s">
        <v>419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>
        <v>40</v>
      </c>
      <c r="V27" s="4">
        <v>40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1:64" x14ac:dyDescent="0.25">
      <c r="A28" s="3" t="s">
        <v>420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>
        <v>41</v>
      </c>
      <c r="T28" s="4"/>
      <c r="U28" s="4"/>
      <c r="V28" s="4">
        <v>41</v>
      </c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1:64" x14ac:dyDescent="0.25">
      <c r="A29" s="3" t="s">
        <v>421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>
        <v>41</v>
      </c>
      <c r="T29" s="4"/>
      <c r="U29" s="4"/>
      <c r="V29" s="4">
        <v>41</v>
      </c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1:64" x14ac:dyDescent="0.25">
      <c r="A30" s="3" t="s">
        <v>422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>
        <v>24</v>
      </c>
      <c r="Q30" s="4"/>
      <c r="R30" s="4"/>
      <c r="S30" s="4"/>
      <c r="T30" s="4"/>
      <c r="U30" s="4"/>
      <c r="V30" s="4">
        <v>24</v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1:64" x14ac:dyDescent="0.25">
      <c r="A31" s="3" t="s">
        <v>423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>
        <v>21</v>
      </c>
      <c r="P31" s="4"/>
      <c r="Q31" s="4"/>
      <c r="R31" s="4"/>
      <c r="S31" s="4"/>
      <c r="T31" s="4"/>
      <c r="U31" s="4"/>
      <c r="V31" s="4">
        <v>21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1:64" x14ac:dyDescent="0.25">
      <c r="A32" s="3" t="s">
        <v>424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>
        <v>34</v>
      </c>
      <c r="S32" s="4"/>
      <c r="T32" s="4"/>
      <c r="U32" s="4"/>
      <c r="V32" s="4">
        <v>34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1:64" x14ac:dyDescent="0.25">
      <c r="A33" s="10" t="s">
        <v>277</v>
      </c>
      <c r="B33" s="4">
        <v>2</v>
      </c>
      <c r="C33" s="4">
        <v>4</v>
      </c>
      <c r="D33" s="4">
        <v>3.7777777777777777</v>
      </c>
      <c r="E33" s="4">
        <v>5.333333333333333</v>
      </c>
      <c r="F33" s="4">
        <v>5.9090909090909092</v>
      </c>
      <c r="G33" s="4">
        <v>7.1428571428571432</v>
      </c>
      <c r="H33" s="4">
        <v>7.625</v>
      </c>
      <c r="I33" s="4">
        <v>11.166666666666666</v>
      </c>
      <c r="J33" s="4">
        <v>10</v>
      </c>
      <c r="K33" s="4">
        <v>10</v>
      </c>
      <c r="L33" s="4">
        <v>12.5</v>
      </c>
      <c r="M33" s="4">
        <v>14</v>
      </c>
      <c r="N33" s="4">
        <v>16.5</v>
      </c>
      <c r="O33" s="4">
        <v>21</v>
      </c>
      <c r="P33" s="4">
        <v>24</v>
      </c>
      <c r="Q33" s="4">
        <v>27.333333333333332</v>
      </c>
      <c r="R33" s="4">
        <v>34</v>
      </c>
      <c r="S33" s="4">
        <v>41</v>
      </c>
      <c r="T33" s="4">
        <v>39</v>
      </c>
      <c r="U33" s="4">
        <v>42</v>
      </c>
      <c r="V33" s="4">
        <v>9.7888888888888896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1:6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1:64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1:64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1:6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1:6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1:64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1:6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1:64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1:64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1:64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1:6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1:64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1:64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1:64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1:64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1:64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1:6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1:64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1:6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1:64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1:64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1:64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1:6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1:64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6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1:6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  <row r="60" spans="1:64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</row>
    <row r="61" spans="1:6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 spans="1:64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 spans="1:64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1:64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1:6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1:64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1:6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1:6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8" spans="1:64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  <row r="79" spans="1:64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 spans="1:6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 spans="1:64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</row>
    <row r="82" spans="1:6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 spans="1:6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</row>
    <row r="84" spans="1:64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</row>
    <row r="85" spans="1:6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</row>
    <row r="86" spans="1:64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 spans="1:64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</row>
    <row r="88" spans="1:6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</row>
    <row r="89" spans="1:6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 spans="1:64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</row>
    <row r="91" spans="1:64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</row>
    <row r="92" spans="1:64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 spans="1:6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 spans="1:64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</row>
    <row r="95" spans="1:6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</row>
    <row r="96" spans="1:6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 spans="1:64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</row>
    <row r="98" spans="1:6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</row>
    <row r="99" spans="1:64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</row>
    <row r="100" spans="1:64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</row>
    <row r="101" spans="1:64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</row>
    <row r="102" spans="1:6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</row>
    <row r="103" spans="1:64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</row>
    <row r="104" spans="1:6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</row>
    <row r="105" spans="1:64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</row>
    <row r="106" spans="1:6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</row>
    <row r="121" spans="76:77" ht="14.45" customHeight="1" x14ac:dyDescent="0.25"/>
    <row r="122" spans="76:77" ht="14.45" customHeight="1" x14ac:dyDescent="0.25"/>
    <row r="123" spans="76:77" ht="14.45" customHeight="1" x14ac:dyDescent="0.25">
      <c r="BX123" s="11"/>
      <c r="BY123" s="11"/>
    </row>
    <row r="124" spans="76:77" ht="14.45" customHeight="1" x14ac:dyDescent="0.25">
      <c r="BX124" s="11"/>
      <c r="BY124" s="11"/>
    </row>
    <row r="125" spans="76:77" ht="14.45" customHeight="1" x14ac:dyDescent="0.25"/>
    <row r="126" spans="76:77" ht="14.45" customHeight="1" x14ac:dyDescent="0.25"/>
    <row r="127" spans="76:77" ht="14.45" customHeight="1" x14ac:dyDescent="0.25"/>
    <row r="128" spans="76:77" ht="14.45" customHeight="1" x14ac:dyDescent="0.25"/>
    <row r="129" ht="14.45" customHeight="1" x14ac:dyDescent="0.25"/>
    <row r="130" ht="14.45" customHeight="1" x14ac:dyDescent="0.25"/>
    <row r="131" ht="14.45" customHeight="1" x14ac:dyDescent="0.25"/>
    <row r="132" ht="14.45" customHeight="1" x14ac:dyDescent="0.25"/>
    <row r="133" ht="14.45" customHeight="1" x14ac:dyDescent="0.25"/>
    <row r="134" ht="14.45" customHeight="1" x14ac:dyDescent="0.25"/>
    <row r="135" ht="14.45" customHeight="1" x14ac:dyDescent="0.25"/>
    <row r="136" ht="14.45" customHeight="1" x14ac:dyDescent="0.25"/>
    <row r="137" ht="14.45" customHeight="1" x14ac:dyDescent="0.25"/>
    <row r="138" ht="14.45" customHeight="1" x14ac:dyDescent="0.25"/>
    <row r="139" ht="14.45" customHeight="1" x14ac:dyDescent="0.25"/>
    <row r="140" ht="14.45" customHeight="1" x14ac:dyDescent="0.25"/>
    <row r="141" ht="14.45" customHeight="1" x14ac:dyDescent="0.25"/>
    <row r="142" ht="14.45" customHeight="1" x14ac:dyDescent="0.25"/>
    <row r="143" ht="14.45" customHeight="1" x14ac:dyDescent="0.25"/>
    <row r="144" ht="14.45" customHeight="1" x14ac:dyDescent="0.25"/>
    <row r="145" ht="14.45" customHeight="1" x14ac:dyDescent="0.25"/>
    <row r="146" ht="14.45" customHeight="1" x14ac:dyDescent="0.25"/>
    <row r="147" ht="14.45" customHeight="1" x14ac:dyDescent="0.25"/>
    <row r="148" ht="14.45" customHeight="1" x14ac:dyDescent="0.25"/>
    <row r="149" ht="14.45" customHeight="1" x14ac:dyDescent="0.25"/>
    <row r="150" ht="14.45" customHeight="1" x14ac:dyDescent="0.25"/>
    <row r="151" ht="14.45" customHeight="1" x14ac:dyDescent="0.25"/>
    <row r="152" ht="14.45" customHeight="1" x14ac:dyDescent="0.25"/>
    <row r="153" ht="14.45" customHeight="1" x14ac:dyDescent="0.25"/>
    <row r="154" ht="14.45" customHeight="1" x14ac:dyDescent="0.25"/>
    <row r="155" ht="14.45" customHeight="1" x14ac:dyDescent="0.25"/>
    <row r="156" ht="14.45" customHeight="1" x14ac:dyDescent="0.25"/>
    <row r="157" ht="14.45" customHeight="1" x14ac:dyDescent="0.25"/>
    <row r="158" ht="14.45" customHeight="1" x14ac:dyDescent="0.25"/>
    <row r="159" ht="14.45" customHeight="1" x14ac:dyDescent="0.25"/>
    <row r="160" ht="14.45" customHeight="1" x14ac:dyDescent="0.25"/>
    <row r="161" ht="14.45" customHeight="1" x14ac:dyDescent="0.25"/>
    <row r="162" ht="14.45" customHeight="1" x14ac:dyDescent="0.25"/>
    <row r="163" ht="14.45" customHeight="1" x14ac:dyDescent="0.25"/>
    <row r="164" ht="14.45" customHeight="1" x14ac:dyDescent="0.25"/>
    <row r="165" ht="14.45" customHeight="1" x14ac:dyDescent="0.25"/>
    <row r="166" ht="14.45" customHeight="1" x14ac:dyDescent="0.25"/>
    <row r="167" ht="14.45" customHeight="1" x14ac:dyDescent="0.25"/>
    <row r="168" ht="14.45" customHeight="1" x14ac:dyDescent="0.25"/>
    <row r="169" ht="14.45" customHeight="1" x14ac:dyDescent="0.25"/>
    <row r="170" ht="14.45" customHeight="1" x14ac:dyDescent="0.25"/>
  </sheetData>
  <mergeCells count="1">
    <mergeCell ref="BP5:BZ12"/>
  </mergeCells>
  <phoneticPr fontId="2" type="noConversion"/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A382-FC68-49B2-8714-BFB585085852}">
  <sheetPr>
    <tabColor theme="6" tint="0.59999389629810485"/>
  </sheetPr>
  <dimension ref="F2:BC63"/>
  <sheetViews>
    <sheetView topLeftCell="B1" zoomScale="90" zoomScaleNormal="90" workbookViewId="0">
      <selection activeCell="N20" sqref="N20"/>
    </sheetView>
  </sheetViews>
  <sheetFormatPr defaultRowHeight="15" x14ac:dyDescent="0.25"/>
  <cols>
    <col min="1" max="1" width="0" hidden="1" customWidth="1"/>
    <col min="6" max="6" width="17.7109375" bestFit="1" customWidth="1"/>
    <col min="7" max="7" width="3.7109375" bestFit="1" customWidth="1"/>
    <col min="8" max="22" width="5.7109375" bestFit="1" customWidth="1"/>
    <col min="23" max="36" width="7.7109375" bestFit="1" customWidth="1"/>
    <col min="37" max="37" width="7.7109375" customWidth="1"/>
    <col min="38" max="39" width="7.7109375" bestFit="1" customWidth="1"/>
    <col min="40" max="40" width="17.7109375" customWidth="1"/>
    <col min="41" max="49" width="4" customWidth="1"/>
    <col min="51" max="51" width="3.42578125" customWidth="1"/>
    <col min="52" max="52" width="11.5703125" customWidth="1"/>
    <col min="53" max="53" width="2.85546875" customWidth="1"/>
    <col min="54" max="54" width="7.42578125" customWidth="1"/>
    <col min="55" max="55" width="4.85546875" customWidth="1"/>
  </cols>
  <sheetData>
    <row r="2" spans="6:55" ht="15.75" thickBot="1" x14ac:dyDescent="0.3"/>
    <row r="3" spans="6:55" ht="15.75" thickBot="1" x14ac:dyDescent="0.3">
      <c r="F3" s="21" t="str" cm="1">
        <f t="array" ref="F3:AW63">'Report of E4S'!A4:AR64</f>
        <v>volume</v>
      </c>
      <c r="G3" s="20" t="str">
        <v>0-19</v>
      </c>
      <c r="H3" s="15" t="str">
        <v>20-39</v>
      </c>
      <c r="I3" s="15" t="str">
        <v>40-59</v>
      </c>
      <c r="J3" s="15" t="str">
        <v>60-79</v>
      </c>
      <c r="K3" s="15" t="str">
        <v>80-99</v>
      </c>
      <c r="L3" s="15" t="str">
        <v>100-119</v>
      </c>
      <c r="M3" s="15" t="str">
        <v>120-139</v>
      </c>
      <c r="N3" s="15" t="str">
        <v>140-159</v>
      </c>
      <c r="O3" s="15" t="str">
        <v>160-179</v>
      </c>
      <c r="P3" s="15" t="str">
        <v>180-199</v>
      </c>
      <c r="Q3" s="15" t="str">
        <v>200-219</v>
      </c>
      <c r="R3" s="15" t="str">
        <v>220-239</v>
      </c>
      <c r="S3" s="15" t="str">
        <v>260-279</v>
      </c>
      <c r="T3" s="15" t="str">
        <v>280-299</v>
      </c>
      <c r="U3" s="15" t="str">
        <v>300-319</v>
      </c>
      <c r="V3" s="15" t="str">
        <v>440-459</v>
      </c>
      <c r="W3" s="15" t="str">
        <v>460-479</v>
      </c>
      <c r="X3" s="15" t="str">
        <v>480-499</v>
      </c>
      <c r="Y3" s="15" t="str">
        <v>500-519</v>
      </c>
      <c r="Z3" s="15" t="str">
        <v>700-719</v>
      </c>
      <c r="AA3" s="15" t="str">
        <v>Totale complessivo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6">
        <v>0</v>
      </c>
    </row>
    <row r="4" spans="6:55" x14ac:dyDescent="0.25">
      <c r="F4" s="17" t="str">
        <v>0-5000</v>
      </c>
      <c r="G4" s="14">
        <v>2</v>
      </c>
      <c r="H4" s="13">
        <v>4</v>
      </c>
      <c r="I4" s="13">
        <v>3</v>
      </c>
      <c r="J4" s="13">
        <v>2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2.6666666666666665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</row>
    <row r="5" spans="6:55" x14ac:dyDescent="0.25">
      <c r="F5" s="18" t="str">
        <v>5000-10000</v>
      </c>
      <c r="G5" s="12">
        <v>0</v>
      </c>
      <c r="H5" s="9">
        <v>4</v>
      </c>
      <c r="I5" s="9">
        <v>4</v>
      </c>
      <c r="J5" s="9">
        <v>4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4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</row>
    <row r="6" spans="6:55" x14ac:dyDescent="0.25">
      <c r="F6" s="18" t="str">
        <v>10000-15000</v>
      </c>
      <c r="G6" s="12">
        <v>0</v>
      </c>
      <c r="H6" s="9">
        <v>0</v>
      </c>
      <c r="I6" s="9">
        <v>4.333333333333333</v>
      </c>
      <c r="J6" s="9">
        <v>5</v>
      </c>
      <c r="K6" s="9">
        <v>5.6</v>
      </c>
      <c r="L6" s="9">
        <v>6</v>
      </c>
      <c r="M6" s="9">
        <v>6.666666666666667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5.4666666666666668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Z6" s="22"/>
      <c r="BA6" s="7"/>
      <c r="BB6" s="7"/>
    </row>
    <row r="7" spans="6:55" x14ac:dyDescent="0.25">
      <c r="F7" s="18" t="str">
        <v>15000-20000</v>
      </c>
      <c r="G7" s="12">
        <v>1</v>
      </c>
      <c r="H7" s="9">
        <v>0</v>
      </c>
      <c r="I7" s="9">
        <v>3</v>
      </c>
      <c r="J7" s="9">
        <v>0</v>
      </c>
      <c r="K7" s="9">
        <v>4.5</v>
      </c>
      <c r="L7" s="9">
        <v>6.333333333333333</v>
      </c>
      <c r="M7" s="9">
        <v>8.3333333333333339</v>
      </c>
      <c r="N7" s="9">
        <v>0</v>
      </c>
      <c r="O7" s="9">
        <v>10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5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Z7" s="22"/>
      <c r="BA7" s="7"/>
      <c r="BB7" s="7"/>
    </row>
    <row r="8" spans="6:55" x14ac:dyDescent="0.25">
      <c r="F8" s="18" t="str">
        <v>20000-25000</v>
      </c>
      <c r="G8" s="12">
        <v>4</v>
      </c>
      <c r="H8" s="9">
        <v>4</v>
      </c>
      <c r="I8" s="9">
        <v>0</v>
      </c>
      <c r="J8" s="9">
        <v>0</v>
      </c>
      <c r="K8" s="9">
        <v>0</v>
      </c>
      <c r="L8" s="9">
        <v>8</v>
      </c>
      <c r="M8" s="9">
        <v>0</v>
      </c>
      <c r="N8" s="9">
        <v>0</v>
      </c>
      <c r="O8" s="9">
        <v>0</v>
      </c>
      <c r="P8" s="9">
        <v>10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6.5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Z8" s="22"/>
      <c r="BA8" s="7"/>
      <c r="BB8" s="7"/>
    </row>
    <row r="9" spans="6:55" x14ac:dyDescent="0.25">
      <c r="F9" s="18" t="str">
        <v>25000-30000</v>
      </c>
      <c r="G9" s="12">
        <v>0</v>
      </c>
      <c r="H9" s="9">
        <v>0</v>
      </c>
      <c r="I9" s="9">
        <v>0</v>
      </c>
      <c r="J9" s="9">
        <v>5</v>
      </c>
      <c r="K9" s="9">
        <v>0</v>
      </c>
      <c r="L9" s="9">
        <v>7.666666666666667</v>
      </c>
      <c r="M9" s="9">
        <v>0</v>
      </c>
      <c r="N9" s="9">
        <v>9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7.4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Z9" s="22"/>
      <c r="BB9" s="7"/>
    </row>
    <row r="10" spans="6:55" x14ac:dyDescent="0.25">
      <c r="F10" s="18" t="str">
        <v>30000-35000</v>
      </c>
      <c r="G10" s="12">
        <v>0</v>
      </c>
      <c r="H10" s="9">
        <v>0</v>
      </c>
      <c r="I10" s="9">
        <v>0</v>
      </c>
      <c r="J10" s="9">
        <v>0</v>
      </c>
      <c r="K10" s="9">
        <v>7</v>
      </c>
      <c r="L10" s="9">
        <v>7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7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Z10" s="24"/>
      <c r="BA10" s="25"/>
      <c r="BB10" s="26"/>
      <c r="BC10" s="27"/>
    </row>
    <row r="11" spans="6:55" x14ac:dyDescent="0.25">
      <c r="F11" s="18" t="str">
        <v>35000-40000</v>
      </c>
      <c r="G11" s="12">
        <v>0</v>
      </c>
      <c r="H11" s="9">
        <v>0</v>
      </c>
      <c r="I11" s="9">
        <v>4</v>
      </c>
      <c r="J11" s="9">
        <v>5</v>
      </c>
      <c r="K11" s="9">
        <v>0</v>
      </c>
      <c r="L11" s="9">
        <v>0</v>
      </c>
      <c r="M11" s="9">
        <v>8</v>
      </c>
      <c r="N11" s="9">
        <v>18</v>
      </c>
      <c r="O11" s="9">
        <v>0</v>
      </c>
      <c r="P11" s="9">
        <v>0</v>
      </c>
      <c r="Q11" s="9">
        <v>0</v>
      </c>
      <c r="R11" s="9">
        <v>14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9.8000000000000007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Z11" s="24"/>
      <c r="BA11" s="25"/>
      <c r="BB11" s="25"/>
      <c r="BC11" s="27"/>
    </row>
    <row r="12" spans="6:55" x14ac:dyDescent="0.25">
      <c r="F12" s="18" t="str">
        <v>40000-45000</v>
      </c>
      <c r="G12" s="12">
        <v>4</v>
      </c>
      <c r="H12" s="9">
        <v>0</v>
      </c>
      <c r="I12" s="9">
        <v>0</v>
      </c>
      <c r="J12" s="9">
        <v>6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5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</row>
    <row r="13" spans="6:55" x14ac:dyDescent="0.25">
      <c r="F13" s="18" t="str">
        <v>45000-50000</v>
      </c>
      <c r="G13" s="12">
        <v>0</v>
      </c>
      <c r="H13" s="9">
        <v>0</v>
      </c>
      <c r="I13" s="9">
        <v>0</v>
      </c>
      <c r="J13" s="9">
        <v>0</v>
      </c>
      <c r="K13" s="9">
        <v>0</v>
      </c>
      <c r="L13" s="9">
        <v>12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12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</row>
    <row r="14" spans="6:55" x14ac:dyDescent="0.25">
      <c r="F14" s="18" t="str">
        <v>50000-55000</v>
      </c>
      <c r="G14" s="12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12</v>
      </c>
      <c r="O14" s="9">
        <v>0</v>
      </c>
      <c r="P14" s="9">
        <v>0</v>
      </c>
      <c r="Q14" s="9">
        <v>0</v>
      </c>
      <c r="R14" s="9">
        <v>0</v>
      </c>
      <c r="S14" s="9">
        <v>15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13.5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</row>
    <row r="15" spans="6:55" x14ac:dyDescent="0.25">
      <c r="F15" s="18" t="str">
        <v>60000-65000</v>
      </c>
      <c r="G15" s="12">
        <v>0</v>
      </c>
      <c r="H15" s="9">
        <v>0</v>
      </c>
      <c r="I15" s="9">
        <v>4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26</v>
      </c>
      <c r="W15" s="9">
        <v>0</v>
      </c>
      <c r="X15" s="9">
        <v>0</v>
      </c>
      <c r="Y15" s="9">
        <v>0</v>
      </c>
      <c r="Z15" s="9">
        <v>0</v>
      </c>
      <c r="AA15" s="9">
        <v>15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</row>
    <row r="16" spans="6:55" x14ac:dyDescent="0.25">
      <c r="F16" s="18" t="str">
        <v>65000-70000</v>
      </c>
      <c r="G16" s="12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30</v>
      </c>
      <c r="W16" s="9">
        <v>0</v>
      </c>
      <c r="X16" s="9">
        <v>0</v>
      </c>
      <c r="Y16" s="9">
        <v>0</v>
      </c>
      <c r="Z16" s="9">
        <v>0</v>
      </c>
      <c r="AA16" s="9">
        <v>30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</row>
    <row r="17" spans="6:49" x14ac:dyDescent="0.25">
      <c r="F17" s="18" t="str">
        <v>70000-75000</v>
      </c>
      <c r="G17" s="12">
        <v>0</v>
      </c>
      <c r="H17" s="9">
        <v>0</v>
      </c>
      <c r="I17" s="9">
        <v>0</v>
      </c>
      <c r="J17" s="9">
        <v>5</v>
      </c>
      <c r="K17" s="9">
        <v>0</v>
      </c>
      <c r="L17" s="9">
        <v>6</v>
      </c>
      <c r="M17" s="9">
        <v>8</v>
      </c>
      <c r="N17" s="9">
        <v>9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26</v>
      </c>
      <c r="W17" s="9">
        <v>0</v>
      </c>
      <c r="X17" s="9">
        <v>0</v>
      </c>
      <c r="Y17" s="9">
        <v>0</v>
      </c>
      <c r="Z17" s="9">
        <v>0</v>
      </c>
      <c r="AA17" s="9">
        <v>10.8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</row>
    <row r="18" spans="6:49" x14ac:dyDescent="0.25">
      <c r="F18" s="18" t="str">
        <v>75000-80000</v>
      </c>
      <c r="G18" s="12">
        <v>0</v>
      </c>
      <c r="H18" s="9">
        <v>0</v>
      </c>
      <c r="I18" s="9">
        <v>0</v>
      </c>
      <c r="J18" s="9">
        <v>0</v>
      </c>
      <c r="K18" s="9">
        <v>0</v>
      </c>
      <c r="L18" s="9">
        <v>6</v>
      </c>
      <c r="M18" s="9">
        <v>0</v>
      </c>
      <c r="N18" s="9">
        <v>9.5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7.75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</row>
    <row r="19" spans="6:49" x14ac:dyDescent="0.25">
      <c r="F19" s="18" t="str">
        <v>85000-90000</v>
      </c>
      <c r="G19" s="12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18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18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</row>
    <row r="20" spans="6:49" x14ac:dyDescent="0.25">
      <c r="F20" s="18" t="str">
        <v>90000-95000</v>
      </c>
      <c r="G20" s="12">
        <v>0</v>
      </c>
      <c r="H20" s="9">
        <v>0</v>
      </c>
      <c r="I20" s="9">
        <v>0</v>
      </c>
      <c r="J20" s="9">
        <v>6</v>
      </c>
      <c r="K20" s="9">
        <v>7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6.5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</row>
    <row r="21" spans="6:49" x14ac:dyDescent="0.25">
      <c r="F21" s="18" t="str">
        <v>95000-100000</v>
      </c>
      <c r="G21" s="12">
        <v>0</v>
      </c>
      <c r="H21" s="9">
        <v>0</v>
      </c>
      <c r="I21" s="9">
        <v>0</v>
      </c>
      <c r="J21" s="9">
        <v>8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8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</row>
    <row r="22" spans="6:49" x14ac:dyDescent="0.25">
      <c r="F22" s="18" t="str">
        <v>105000-110000</v>
      </c>
      <c r="G22" s="12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14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39</v>
      </c>
      <c r="Z22" s="9">
        <v>0</v>
      </c>
      <c r="AA22" s="9">
        <v>26.5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</row>
    <row r="23" spans="6:49" x14ac:dyDescent="0.25">
      <c r="F23" s="18" t="str">
        <v>110000-115000</v>
      </c>
      <c r="G23" s="12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11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11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</row>
    <row r="24" spans="6:49" x14ac:dyDescent="0.25">
      <c r="F24" s="18" t="str">
        <v>145000-150000</v>
      </c>
      <c r="G24" s="12">
        <v>0</v>
      </c>
      <c r="H24" s="9">
        <v>0</v>
      </c>
      <c r="I24" s="9">
        <v>0</v>
      </c>
      <c r="J24" s="9">
        <v>8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8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</row>
    <row r="25" spans="6:49" x14ac:dyDescent="0.25">
      <c r="F25" s="18" t="str">
        <v>185000-190000</v>
      </c>
      <c r="G25" s="12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44</v>
      </c>
      <c r="AA25" s="9">
        <v>44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</row>
    <row r="26" spans="6:49" x14ac:dyDescent="0.25">
      <c r="F26" s="18" t="str">
        <v>210000-215000</v>
      </c>
      <c r="G26" s="12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40</v>
      </c>
      <c r="AA26" s="9">
        <v>40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</row>
    <row r="27" spans="6:49" x14ac:dyDescent="0.25">
      <c r="F27" s="18" t="str">
        <v>215000-220000</v>
      </c>
      <c r="G27" s="12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41</v>
      </c>
      <c r="Y27" s="9">
        <v>0</v>
      </c>
      <c r="Z27" s="9">
        <v>0</v>
      </c>
      <c r="AA27" s="9">
        <v>41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</row>
    <row r="28" spans="6:49" x14ac:dyDescent="0.25">
      <c r="F28" s="18" t="str">
        <v>220000-225000</v>
      </c>
      <c r="G28" s="12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41</v>
      </c>
      <c r="Y28" s="9">
        <v>0</v>
      </c>
      <c r="Z28" s="9">
        <v>0</v>
      </c>
      <c r="AA28" s="9">
        <v>41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</row>
    <row r="29" spans="6:49" x14ac:dyDescent="0.25">
      <c r="F29" s="18" t="str">
        <v>260000-265000</v>
      </c>
      <c r="G29" s="12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24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24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</row>
    <row r="30" spans="6:49" x14ac:dyDescent="0.25">
      <c r="F30" s="18" t="str">
        <v>295000-300000</v>
      </c>
      <c r="G30" s="12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21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21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</row>
    <row r="31" spans="6:49" x14ac:dyDescent="0.25">
      <c r="F31" s="18" t="str">
        <v>375000-380000</v>
      </c>
      <c r="G31" s="12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34</v>
      </c>
      <c r="X31" s="9">
        <v>0</v>
      </c>
      <c r="Y31" s="9">
        <v>0</v>
      </c>
      <c r="Z31" s="9">
        <v>0</v>
      </c>
      <c r="AA31" s="9">
        <v>34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</row>
    <row r="32" spans="6:49" x14ac:dyDescent="0.25">
      <c r="F32" s="18" t="str">
        <v>Totale complessivo</v>
      </c>
      <c r="G32" s="12">
        <v>2</v>
      </c>
      <c r="H32" s="9">
        <v>4</v>
      </c>
      <c r="I32" s="9">
        <v>3.7777777777777777</v>
      </c>
      <c r="J32" s="9">
        <v>5.333333333333333</v>
      </c>
      <c r="K32" s="9">
        <v>5.9090909090909092</v>
      </c>
      <c r="L32" s="9">
        <v>7.1428571428571432</v>
      </c>
      <c r="M32" s="9">
        <v>7.625</v>
      </c>
      <c r="N32" s="9">
        <v>11.166666666666666</v>
      </c>
      <c r="O32" s="9">
        <v>10</v>
      </c>
      <c r="P32" s="9">
        <v>10</v>
      </c>
      <c r="Q32" s="9">
        <v>12.5</v>
      </c>
      <c r="R32" s="9">
        <v>14</v>
      </c>
      <c r="S32" s="9">
        <v>16.5</v>
      </c>
      <c r="T32" s="9">
        <v>21</v>
      </c>
      <c r="U32" s="9">
        <v>24</v>
      </c>
      <c r="V32" s="9">
        <v>27.333333333333332</v>
      </c>
      <c r="W32" s="9">
        <v>34</v>
      </c>
      <c r="X32" s="9">
        <v>41</v>
      </c>
      <c r="Y32" s="9">
        <v>39</v>
      </c>
      <c r="Z32" s="9">
        <v>42</v>
      </c>
      <c r="AA32" s="9">
        <v>9.7888888888888896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</row>
    <row r="33" spans="6:49" x14ac:dyDescent="0.25">
      <c r="F33" s="18">
        <v>0</v>
      </c>
      <c r="G33" s="12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</row>
    <row r="34" spans="6:49" x14ac:dyDescent="0.25">
      <c r="F34" s="18">
        <v>0</v>
      </c>
      <c r="G34" s="12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</row>
    <row r="35" spans="6:49" x14ac:dyDescent="0.25">
      <c r="F35" s="18">
        <v>0</v>
      </c>
      <c r="G35" s="12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</row>
    <row r="36" spans="6:49" x14ac:dyDescent="0.25">
      <c r="F36" s="18">
        <v>0</v>
      </c>
      <c r="G36" s="12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</row>
    <row r="37" spans="6:49" x14ac:dyDescent="0.25">
      <c r="F37" s="18">
        <v>0</v>
      </c>
      <c r="G37" s="12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</row>
    <row r="38" spans="6:49" x14ac:dyDescent="0.25">
      <c r="F38" s="18">
        <v>0</v>
      </c>
      <c r="G38" s="12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</row>
    <row r="39" spans="6:49" x14ac:dyDescent="0.25">
      <c r="F39" s="18">
        <v>0</v>
      </c>
      <c r="G39" s="12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</row>
    <row r="40" spans="6:49" x14ac:dyDescent="0.25">
      <c r="F40" s="18">
        <v>0</v>
      </c>
      <c r="G40" s="12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</row>
    <row r="41" spans="6:49" x14ac:dyDescent="0.25">
      <c r="F41" s="18">
        <v>0</v>
      </c>
      <c r="G41" s="12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</row>
    <row r="42" spans="6:49" x14ac:dyDescent="0.25">
      <c r="F42" s="18">
        <v>0</v>
      </c>
      <c r="G42" s="12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</row>
    <row r="43" spans="6:49" x14ac:dyDescent="0.25">
      <c r="F43" s="18">
        <v>0</v>
      </c>
      <c r="G43" s="12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</row>
    <row r="44" spans="6:49" x14ac:dyDescent="0.25">
      <c r="F44" s="18">
        <v>0</v>
      </c>
      <c r="G44" s="12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</row>
    <row r="45" spans="6:49" x14ac:dyDescent="0.25">
      <c r="F45" s="18">
        <v>0</v>
      </c>
      <c r="G45" s="12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</row>
    <row r="46" spans="6:49" x14ac:dyDescent="0.25">
      <c r="F46" s="18">
        <v>0</v>
      </c>
      <c r="G46" s="12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</row>
    <row r="47" spans="6:49" x14ac:dyDescent="0.25">
      <c r="F47" s="18">
        <v>0</v>
      </c>
      <c r="G47" s="12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</row>
    <row r="48" spans="6:49" x14ac:dyDescent="0.25">
      <c r="F48" s="18">
        <v>0</v>
      </c>
      <c r="G48" s="12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</row>
    <row r="49" spans="6:49" x14ac:dyDescent="0.25">
      <c r="F49" s="18">
        <v>0</v>
      </c>
      <c r="G49" s="12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</row>
    <row r="50" spans="6:49" x14ac:dyDescent="0.25">
      <c r="F50" s="18">
        <v>0</v>
      </c>
      <c r="G50" s="12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</row>
    <row r="51" spans="6:49" x14ac:dyDescent="0.25">
      <c r="F51" s="18">
        <v>0</v>
      </c>
      <c r="G51" s="12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</row>
    <row r="52" spans="6:49" x14ac:dyDescent="0.25">
      <c r="F52" s="18">
        <v>0</v>
      </c>
      <c r="G52" s="12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</row>
    <row r="53" spans="6:49" x14ac:dyDescent="0.25">
      <c r="F53" s="18">
        <v>0</v>
      </c>
      <c r="G53" s="12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</row>
    <row r="54" spans="6:49" x14ac:dyDescent="0.25">
      <c r="F54" s="18">
        <v>0</v>
      </c>
      <c r="G54" s="12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</row>
    <row r="55" spans="6:49" x14ac:dyDescent="0.25">
      <c r="F55" s="18">
        <v>0</v>
      </c>
      <c r="G55" s="12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</row>
    <row r="56" spans="6:49" x14ac:dyDescent="0.25">
      <c r="F56" s="18">
        <v>0</v>
      </c>
      <c r="G56" s="12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</row>
    <row r="57" spans="6:49" x14ac:dyDescent="0.25">
      <c r="F57" s="18">
        <v>0</v>
      </c>
      <c r="G57" s="12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</row>
    <row r="58" spans="6:49" x14ac:dyDescent="0.25">
      <c r="F58" s="18">
        <v>0</v>
      </c>
      <c r="G58" s="12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</row>
    <row r="59" spans="6:49" x14ac:dyDescent="0.25">
      <c r="F59" s="18">
        <v>0</v>
      </c>
      <c r="G59" s="12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</row>
    <row r="60" spans="6:49" x14ac:dyDescent="0.25">
      <c r="F60" s="18">
        <v>0</v>
      </c>
      <c r="G60" s="12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</row>
    <row r="61" spans="6:49" x14ac:dyDescent="0.25">
      <c r="F61" s="18">
        <v>0</v>
      </c>
      <c r="G61" s="12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</row>
    <row r="62" spans="6:49" x14ac:dyDescent="0.25">
      <c r="F62" s="18">
        <v>0</v>
      </c>
      <c r="G62" s="12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</row>
    <row r="63" spans="6:49" ht="15.75" thickBot="1" x14ac:dyDescent="0.3">
      <c r="F63" s="19">
        <v>0</v>
      </c>
      <c r="G63" s="12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</row>
  </sheetData>
  <conditionalFormatting sqref="G4:AW63">
    <cfRule type="cellIs" dxfId="1" priority="1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34F8-927A-461B-9B00-F2D04EF473BA}">
  <sheetPr>
    <tabColor theme="8" tint="0.59999389629810485"/>
  </sheetPr>
  <dimension ref="A1:CN170"/>
  <sheetViews>
    <sheetView zoomScale="80" zoomScaleNormal="80" workbookViewId="0">
      <selection activeCell="K27" sqref="K27"/>
    </sheetView>
  </sheetViews>
  <sheetFormatPr defaultColWidth="8.85546875" defaultRowHeight="15" x14ac:dyDescent="0.25"/>
  <cols>
    <col min="1" max="1" width="20.42578125" style="10" bestFit="1" customWidth="1"/>
    <col min="2" max="2" width="23.85546875" style="3" bestFit="1" customWidth="1"/>
    <col min="3" max="5" width="6.140625" style="3" bestFit="1" customWidth="1"/>
    <col min="6" max="21" width="8.28515625" style="3" bestFit="1" customWidth="1"/>
    <col min="22" max="22" width="17.85546875" style="3" bestFit="1" customWidth="1"/>
    <col min="23" max="30" width="8.28515625" style="3" bestFit="1" customWidth="1"/>
    <col min="31" max="31" width="17.85546875" style="3" bestFit="1" customWidth="1"/>
    <col min="32" max="44" width="4.28515625" style="3" bestFit="1" customWidth="1"/>
    <col min="45" max="45" width="17.85546875" style="3" bestFit="1" customWidth="1"/>
    <col min="46" max="60" width="4.28515625" style="3" bestFit="1" customWidth="1"/>
    <col min="61" max="61" width="7.28515625" style="3" bestFit="1" customWidth="1"/>
    <col min="62" max="63" width="4.28515625" style="3" bestFit="1" customWidth="1"/>
    <col min="64" max="64" width="17.85546875" style="3" bestFit="1" customWidth="1"/>
    <col min="65" max="16384" width="8.85546875" style="3"/>
  </cols>
  <sheetData>
    <row r="1" spans="1:92" x14ac:dyDescent="0.25">
      <c r="A1" s="31" t="s">
        <v>3</v>
      </c>
      <c r="B1" s="3" t="s">
        <v>348</v>
      </c>
    </row>
    <row r="3" spans="1:92" x14ac:dyDescent="0.25">
      <c r="A3" s="31" t="s">
        <v>425</v>
      </c>
      <c r="B3" s="30" t="s">
        <v>426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 spans="1:92" ht="14.45" customHeight="1" x14ac:dyDescent="0.25">
      <c r="A4" s="31" t="s">
        <v>427</v>
      </c>
      <c r="B4" s="3" t="s">
        <v>377</v>
      </c>
      <c r="C4" s="3" t="s">
        <v>378</v>
      </c>
      <c r="D4" s="3" t="s">
        <v>379</v>
      </c>
      <c r="E4" s="3" t="s">
        <v>380</v>
      </c>
      <c r="F4" s="3" t="s">
        <v>382</v>
      </c>
      <c r="G4" s="3" t="s">
        <v>383</v>
      </c>
      <c r="H4" s="3" t="s">
        <v>384</v>
      </c>
      <c r="I4" s="3" t="s">
        <v>385</v>
      </c>
      <c r="J4" s="3" t="s">
        <v>386</v>
      </c>
      <c r="K4" s="3" t="s">
        <v>387</v>
      </c>
      <c r="L4" s="3" t="s">
        <v>388</v>
      </c>
      <c r="M4" s="3" t="s">
        <v>389</v>
      </c>
      <c r="N4" s="3" t="s">
        <v>428</v>
      </c>
      <c r="O4" s="3" t="s">
        <v>429</v>
      </c>
      <c r="P4" s="3" t="s">
        <v>430</v>
      </c>
      <c r="Q4" s="3" t="s">
        <v>392</v>
      </c>
      <c r="R4" s="3" t="s">
        <v>394</v>
      </c>
      <c r="S4" s="3" t="s">
        <v>431</v>
      </c>
      <c r="T4" s="3" t="s">
        <v>395</v>
      </c>
      <c r="U4" s="3" t="s">
        <v>432</v>
      </c>
      <c r="V4" s="3" t="s">
        <v>277</v>
      </c>
      <c r="W4"/>
      <c r="X4"/>
      <c r="Y4"/>
      <c r="Z4"/>
      <c r="AA4"/>
      <c r="AB4"/>
      <c r="AC4"/>
      <c r="AD4"/>
      <c r="AE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92" ht="14.45" customHeight="1" x14ac:dyDescent="0.25">
      <c r="A5" s="3" t="s">
        <v>396</v>
      </c>
      <c r="C5" s="3">
        <v>3</v>
      </c>
      <c r="V5" s="3">
        <v>3</v>
      </c>
      <c r="W5"/>
      <c r="X5"/>
      <c r="Y5"/>
      <c r="Z5"/>
      <c r="AA5"/>
      <c r="AB5"/>
      <c r="AC5"/>
      <c r="AD5"/>
      <c r="AE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P5" s="34" t="s">
        <v>397</v>
      </c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</row>
    <row r="6" spans="1:92" ht="14.45" customHeight="1" x14ac:dyDescent="0.25">
      <c r="A6" s="32">
        <v>1</v>
      </c>
      <c r="C6" s="3">
        <v>3</v>
      </c>
      <c r="V6" s="3">
        <v>3</v>
      </c>
      <c r="W6"/>
      <c r="X6"/>
      <c r="Y6"/>
      <c r="Z6"/>
      <c r="AA6"/>
      <c r="AB6"/>
      <c r="AC6"/>
      <c r="AD6"/>
      <c r="AE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</row>
    <row r="7" spans="1:92" ht="14.45" customHeight="1" x14ac:dyDescent="0.25">
      <c r="A7" s="3" t="s">
        <v>398</v>
      </c>
      <c r="D7" s="3">
        <v>4</v>
      </c>
      <c r="E7" s="3">
        <v>6</v>
      </c>
      <c r="F7" s="3">
        <v>7</v>
      </c>
      <c r="K7" s="3">
        <v>6</v>
      </c>
      <c r="V7" s="3">
        <v>23</v>
      </c>
      <c r="W7"/>
      <c r="X7"/>
      <c r="Y7"/>
      <c r="Z7"/>
      <c r="AA7"/>
      <c r="AB7"/>
      <c r="AC7"/>
      <c r="AD7"/>
      <c r="AE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</row>
    <row r="8" spans="1:92" ht="14.45" customHeight="1" x14ac:dyDescent="0.25">
      <c r="A8" s="32">
        <v>1</v>
      </c>
      <c r="D8" s="3">
        <v>4</v>
      </c>
      <c r="E8" s="3">
        <v>6</v>
      </c>
      <c r="F8" s="3">
        <v>7</v>
      </c>
      <c r="K8" s="3">
        <v>6</v>
      </c>
      <c r="V8" s="3">
        <v>23</v>
      </c>
      <c r="W8"/>
      <c r="X8"/>
      <c r="Y8"/>
      <c r="Z8"/>
      <c r="AA8"/>
      <c r="AB8"/>
      <c r="AC8"/>
      <c r="AD8"/>
      <c r="AE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</row>
    <row r="9" spans="1:92" ht="14.45" customHeight="1" x14ac:dyDescent="0.25">
      <c r="A9" s="3" t="s">
        <v>399</v>
      </c>
      <c r="C9" s="3">
        <v>12</v>
      </c>
      <c r="D9" s="3">
        <v>5</v>
      </c>
      <c r="F9" s="3">
        <v>18</v>
      </c>
      <c r="H9" s="3">
        <v>6</v>
      </c>
      <c r="J9" s="3">
        <v>3</v>
      </c>
      <c r="V9" s="3">
        <v>44</v>
      </c>
      <c r="W9"/>
      <c r="X9"/>
      <c r="Y9"/>
      <c r="Z9"/>
      <c r="AA9"/>
      <c r="AB9"/>
      <c r="AC9"/>
      <c r="AD9"/>
      <c r="AE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</row>
    <row r="10" spans="1:92" ht="14.45" customHeight="1" x14ac:dyDescent="0.25">
      <c r="A10" s="32">
        <v>1</v>
      </c>
      <c r="C10" s="3">
        <v>12</v>
      </c>
      <c r="D10" s="3">
        <v>5</v>
      </c>
      <c r="F10" s="3">
        <v>5</v>
      </c>
      <c r="J10" s="3">
        <v>3</v>
      </c>
      <c r="V10" s="3">
        <v>25</v>
      </c>
      <c r="W10"/>
      <c r="X10"/>
      <c r="Y10"/>
      <c r="Z10"/>
      <c r="AA10"/>
      <c r="AB10"/>
      <c r="AC10"/>
      <c r="AD10"/>
      <c r="AE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</row>
    <row r="11" spans="1:92" ht="14.45" customHeight="1" x14ac:dyDescent="0.25">
      <c r="A11" s="32">
        <v>2</v>
      </c>
      <c r="F11" s="3">
        <v>13</v>
      </c>
      <c r="H11" s="3">
        <v>6</v>
      </c>
      <c r="V11" s="3">
        <v>19</v>
      </c>
      <c r="W11"/>
      <c r="X11"/>
      <c r="Y11"/>
      <c r="Z11"/>
      <c r="AA11"/>
      <c r="AB11"/>
      <c r="AC11"/>
      <c r="AD11"/>
      <c r="AE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</row>
    <row r="12" spans="1:92" ht="14.45" customHeight="1" x14ac:dyDescent="0.25">
      <c r="A12" s="3" t="s">
        <v>400</v>
      </c>
      <c r="F12" s="3">
        <v>9</v>
      </c>
      <c r="V12" s="3">
        <v>9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</row>
    <row r="13" spans="1:92" x14ac:dyDescent="0.25">
      <c r="A13" s="32">
        <v>1</v>
      </c>
      <c r="F13" s="3">
        <v>9</v>
      </c>
      <c r="V13" s="3">
        <v>9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92" x14ac:dyDescent="0.25">
      <c r="A14" s="3" t="s">
        <v>401</v>
      </c>
      <c r="I14" s="3">
        <v>8</v>
      </c>
      <c r="N14" s="3">
        <v>12</v>
      </c>
      <c r="V14" s="3">
        <v>20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1:92" x14ac:dyDescent="0.25">
      <c r="A15" s="32">
        <v>2</v>
      </c>
      <c r="I15" s="3">
        <v>8</v>
      </c>
      <c r="N15" s="3">
        <v>12</v>
      </c>
      <c r="V15" s="3">
        <v>20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1:92" x14ac:dyDescent="0.25">
      <c r="A16" s="3" t="s">
        <v>403</v>
      </c>
      <c r="I16" s="3">
        <v>8</v>
      </c>
      <c r="M16" s="3">
        <v>12</v>
      </c>
      <c r="N16" s="3">
        <v>12</v>
      </c>
      <c r="R16" s="3">
        <v>16</v>
      </c>
      <c r="V16" s="3">
        <v>48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:64" x14ac:dyDescent="0.25">
      <c r="A17" s="32">
        <v>2</v>
      </c>
      <c r="I17" s="3">
        <v>8</v>
      </c>
      <c r="V17" s="3">
        <v>8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1:64" x14ac:dyDescent="0.25">
      <c r="A18" s="32">
        <v>3</v>
      </c>
      <c r="M18" s="3">
        <v>12</v>
      </c>
      <c r="N18" s="3">
        <v>12</v>
      </c>
      <c r="V18" s="3">
        <v>24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1:64" x14ac:dyDescent="0.25">
      <c r="A19" s="32">
        <v>8</v>
      </c>
      <c r="R19" s="3">
        <v>16</v>
      </c>
      <c r="V19" s="3">
        <v>16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64" x14ac:dyDescent="0.25">
      <c r="A20" s="3" t="s">
        <v>404</v>
      </c>
      <c r="I20" s="3">
        <v>12</v>
      </c>
      <c r="M20" s="3">
        <v>12</v>
      </c>
      <c r="V20" s="3">
        <v>24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1:64" x14ac:dyDescent="0.25">
      <c r="A21" s="32">
        <v>2</v>
      </c>
      <c r="I21" s="3">
        <v>12</v>
      </c>
      <c r="V21" s="3">
        <v>12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1:64" x14ac:dyDescent="0.25">
      <c r="A22" s="32">
        <v>3</v>
      </c>
      <c r="M22" s="3">
        <v>12</v>
      </c>
      <c r="V22" s="3">
        <v>12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1:64" x14ac:dyDescent="0.25">
      <c r="A23" s="3" t="s">
        <v>405</v>
      </c>
      <c r="D23" s="3">
        <v>11</v>
      </c>
      <c r="R23" s="3">
        <v>18</v>
      </c>
      <c r="S23" s="3">
        <v>16</v>
      </c>
      <c r="V23" s="3">
        <v>45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:64" x14ac:dyDescent="0.25">
      <c r="A24" s="32">
        <v>1</v>
      </c>
      <c r="D24" s="3">
        <v>11</v>
      </c>
      <c r="V24" s="3">
        <v>11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1:64" x14ac:dyDescent="0.25">
      <c r="A25" s="32">
        <v>2</v>
      </c>
      <c r="S25" s="3">
        <v>16</v>
      </c>
      <c r="V25" s="3">
        <v>16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1:64" x14ac:dyDescent="0.25">
      <c r="A26" s="32">
        <v>9</v>
      </c>
      <c r="R26" s="3">
        <v>18</v>
      </c>
      <c r="V26" s="3">
        <v>18</v>
      </c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1:64" x14ac:dyDescent="0.25">
      <c r="A27" s="3" t="s">
        <v>406</v>
      </c>
      <c r="M27" s="3">
        <v>12</v>
      </c>
      <c r="V27" s="3">
        <v>12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1:64" x14ac:dyDescent="0.25">
      <c r="A28" s="32">
        <v>3</v>
      </c>
      <c r="M28" s="3">
        <v>12</v>
      </c>
      <c r="V28" s="3">
        <v>12</v>
      </c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1:64" x14ac:dyDescent="0.25">
      <c r="A29" s="3" t="s">
        <v>433</v>
      </c>
      <c r="T29" s="3">
        <v>27</v>
      </c>
      <c r="V29" s="3">
        <v>27</v>
      </c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1:64" x14ac:dyDescent="0.25">
      <c r="A30" s="32">
        <v>3</v>
      </c>
      <c r="T30" s="3">
        <v>27</v>
      </c>
      <c r="V30" s="3">
        <v>27</v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1:64" x14ac:dyDescent="0.25">
      <c r="A31" s="3" t="s">
        <v>409</v>
      </c>
      <c r="B31" s="3">
        <v>4</v>
      </c>
      <c r="V31" s="3">
        <v>4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1:64" x14ac:dyDescent="0.25">
      <c r="A32" s="32">
        <v>1</v>
      </c>
      <c r="B32" s="3">
        <v>4</v>
      </c>
      <c r="V32" s="3">
        <v>4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1:64" x14ac:dyDescent="0.25">
      <c r="A33" s="3" t="s">
        <v>411</v>
      </c>
      <c r="H33" s="3">
        <v>17</v>
      </c>
      <c r="V33" s="3">
        <v>17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1:64" x14ac:dyDescent="0.25">
      <c r="A34" s="32">
        <v>1</v>
      </c>
      <c r="H34" s="3">
        <v>5</v>
      </c>
      <c r="V34" s="3">
        <v>5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1:64" x14ac:dyDescent="0.25">
      <c r="A35" s="32">
        <v>2</v>
      </c>
      <c r="H35" s="3">
        <v>12</v>
      </c>
      <c r="V35" s="3">
        <v>12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1:64" x14ac:dyDescent="0.25">
      <c r="A36" s="3" t="s">
        <v>412</v>
      </c>
      <c r="L36" s="3">
        <v>18</v>
      </c>
      <c r="V36" s="3">
        <v>18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1:64" x14ac:dyDescent="0.25">
      <c r="A37" s="32">
        <v>1</v>
      </c>
      <c r="L37" s="3">
        <v>18</v>
      </c>
      <c r="V37" s="3">
        <v>18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1:64" x14ac:dyDescent="0.25">
      <c r="A38" s="3" t="s">
        <v>434</v>
      </c>
      <c r="G38" s="3">
        <v>6</v>
      </c>
      <c r="O38" s="3">
        <v>20</v>
      </c>
      <c r="V38" s="3">
        <v>26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1:64" x14ac:dyDescent="0.25">
      <c r="A39" s="32">
        <v>1</v>
      </c>
      <c r="G39" s="3">
        <v>6</v>
      </c>
      <c r="O39" s="3">
        <v>20</v>
      </c>
      <c r="V39" s="3">
        <v>26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1:64" x14ac:dyDescent="0.25">
      <c r="A40" s="3" t="s">
        <v>435</v>
      </c>
      <c r="O40" s="3">
        <v>10</v>
      </c>
      <c r="V40" s="3">
        <v>10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1:64" x14ac:dyDescent="0.25">
      <c r="A41" s="32">
        <v>1</v>
      </c>
      <c r="O41" s="3">
        <v>10</v>
      </c>
      <c r="V41" s="3">
        <v>10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1:64" x14ac:dyDescent="0.25">
      <c r="A42" s="3" t="s">
        <v>436</v>
      </c>
      <c r="U42" s="3">
        <v>36</v>
      </c>
      <c r="V42" s="3">
        <v>36</v>
      </c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1:64" x14ac:dyDescent="0.25">
      <c r="A43" s="32">
        <v>4</v>
      </c>
      <c r="U43" s="3">
        <v>36</v>
      </c>
      <c r="V43" s="3">
        <v>36</v>
      </c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1:64" x14ac:dyDescent="0.25">
      <c r="A44" s="3" t="s">
        <v>437</v>
      </c>
      <c r="P44" s="3">
        <v>30</v>
      </c>
      <c r="V44" s="3">
        <v>30</v>
      </c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1:64" x14ac:dyDescent="0.25">
      <c r="A45" s="32">
        <v>3</v>
      </c>
      <c r="P45" s="3">
        <v>30</v>
      </c>
      <c r="V45" s="3">
        <v>30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1:64" x14ac:dyDescent="0.25">
      <c r="A46" s="3" t="s">
        <v>438</v>
      </c>
      <c r="G46" s="3">
        <v>12</v>
      </c>
      <c r="V46" s="3">
        <v>12</v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1:64" x14ac:dyDescent="0.25">
      <c r="A47" s="32">
        <v>2</v>
      </c>
      <c r="G47" s="3">
        <v>12</v>
      </c>
      <c r="V47" s="3">
        <v>12</v>
      </c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1:64" x14ac:dyDescent="0.25">
      <c r="A48" s="3" t="s">
        <v>439</v>
      </c>
      <c r="S48" s="3">
        <v>25</v>
      </c>
      <c r="V48" s="3">
        <v>25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1:64" x14ac:dyDescent="0.25">
      <c r="A49" s="32">
        <v>5</v>
      </c>
      <c r="S49" s="3">
        <v>25</v>
      </c>
      <c r="V49" s="3">
        <v>25</v>
      </c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1:64" x14ac:dyDescent="0.25">
      <c r="A50" s="3" t="s">
        <v>418</v>
      </c>
      <c r="G50" s="3">
        <v>12</v>
      </c>
      <c r="S50" s="3">
        <v>50</v>
      </c>
      <c r="V50" s="3">
        <v>62</v>
      </c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1:64" x14ac:dyDescent="0.25">
      <c r="A51" s="32">
        <v>2</v>
      </c>
      <c r="G51" s="3">
        <v>12</v>
      </c>
      <c r="V51" s="3">
        <v>12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1:64" x14ac:dyDescent="0.25">
      <c r="A52" s="32">
        <v>5</v>
      </c>
      <c r="S52" s="3">
        <v>50</v>
      </c>
      <c r="V52" s="3">
        <v>50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1:64" x14ac:dyDescent="0.25">
      <c r="A53" s="3" t="s">
        <v>440</v>
      </c>
      <c r="T53" s="3">
        <v>20</v>
      </c>
      <c r="V53" s="3">
        <v>20</v>
      </c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1:64" x14ac:dyDescent="0.25">
      <c r="A54" s="32">
        <v>2</v>
      </c>
      <c r="T54" s="3">
        <v>20</v>
      </c>
      <c r="V54" s="3">
        <v>20</v>
      </c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1:64" x14ac:dyDescent="0.25">
      <c r="A55" s="3" t="s">
        <v>441</v>
      </c>
      <c r="T55" s="3">
        <v>18</v>
      </c>
      <c r="V55" s="3">
        <v>18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1:64" x14ac:dyDescent="0.25">
      <c r="A56" s="32">
        <v>1</v>
      </c>
      <c r="T56" s="3">
        <v>18</v>
      </c>
      <c r="V56" s="3">
        <v>18</v>
      </c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1:64" x14ac:dyDescent="0.25">
      <c r="A57" s="3" t="s">
        <v>422</v>
      </c>
      <c r="M57" s="3">
        <v>14</v>
      </c>
      <c r="Q57" s="3">
        <v>24</v>
      </c>
      <c r="V57" s="3">
        <v>38</v>
      </c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64" x14ac:dyDescent="0.25">
      <c r="A58" s="32">
        <v>2</v>
      </c>
      <c r="M58" s="3">
        <v>14</v>
      </c>
      <c r="V58" s="3">
        <v>14</v>
      </c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1:64" x14ac:dyDescent="0.25">
      <c r="A59" s="32">
        <v>3</v>
      </c>
      <c r="Q59" s="3">
        <v>24</v>
      </c>
      <c r="V59" s="3">
        <v>24</v>
      </c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  <row r="60" spans="1:64" x14ac:dyDescent="0.25">
      <c r="A60" s="3" t="s">
        <v>442</v>
      </c>
      <c r="M60" s="3">
        <v>21</v>
      </c>
      <c r="V60" s="3">
        <v>21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</row>
    <row r="61" spans="1:64" x14ac:dyDescent="0.25">
      <c r="A61" s="32">
        <v>3</v>
      </c>
      <c r="M61" s="3">
        <v>21</v>
      </c>
      <c r="V61" s="3">
        <v>21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 spans="1:64" x14ac:dyDescent="0.25">
      <c r="A62" s="3" t="s">
        <v>443</v>
      </c>
      <c r="Q62" s="3">
        <v>24</v>
      </c>
      <c r="V62" s="3">
        <v>24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 spans="1:64" x14ac:dyDescent="0.25">
      <c r="A63" s="32">
        <v>3</v>
      </c>
      <c r="Q63" s="3">
        <v>24</v>
      </c>
      <c r="V63" s="3">
        <v>24</v>
      </c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1:64" x14ac:dyDescent="0.25">
      <c r="A64" s="3" t="s">
        <v>444</v>
      </c>
      <c r="M64" s="3">
        <v>18</v>
      </c>
      <c r="V64" s="3">
        <v>18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 x14ac:dyDescent="0.25">
      <c r="A65" s="32">
        <v>3</v>
      </c>
      <c r="M65" s="3">
        <v>18</v>
      </c>
      <c r="V65" s="3">
        <v>18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 x14ac:dyDescent="0.25">
      <c r="A66" s="10" t="s">
        <v>277</v>
      </c>
      <c r="B66" s="3">
        <v>4</v>
      </c>
      <c r="C66" s="3">
        <v>15</v>
      </c>
      <c r="D66" s="3">
        <v>20</v>
      </c>
      <c r="E66" s="3">
        <v>6</v>
      </c>
      <c r="F66" s="3">
        <v>34</v>
      </c>
      <c r="G66" s="3">
        <v>30</v>
      </c>
      <c r="H66" s="3">
        <v>23</v>
      </c>
      <c r="I66" s="3">
        <v>28</v>
      </c>
      <c r="J66" s="3">
        <v>3</v>
      </c>
      <c r="K66" s="3">
        <v>6</v>
      </c>
      <c r="L66" s="3">
        <v>18</v>
      </c>
      <c r="M66" s="3">
        <v>89</v>
      </c>
      <c r="N66" s="3">
        <v>24</v>
      </c>
      <c r="O66" s="3">
        <v>30</v>
      </c>
      <c r="P66" s="3">
        <v>30</v>
      </c>
      <c r="Q66" s="3">
        <v>48</v>
      </c>
      <c r="R66" s="3">
        <v>34</v>
      </c>
      <c r="S66" s="3">
        <v>91</v>
      </c>
      <c r="T66" s="3">
        <v>65</v>
      </c>
      <c r="U66" s="3">
        <v>36</v>
      </c>
      <c r="V66" s="3">
        <v>634</v>
      </c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1:6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1:64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1:6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1:6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8" spans="1:64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  <row r="79" spans="1:64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 spans="1:6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 spans="1:64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</row>
    <row r="82" spans="1:6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 spans="1:6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</row>
    <row r="84" spans="1:64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</row>
    <row r="85" spans="1:6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</row>
    <row r="86" spans="1:64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 spans="1:64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</row>
    <row r="88" spans="1:6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</row>
    <row r="89" spans="1:6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 spans="1:64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</row>
    <row r="91" spans="1:64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</row>
    <row r="92" spans="1:64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 spans="1:6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 spans="1:64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</row>
    <row r="95" spans="1:6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</row>
    <row r="96" spans="1:6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 spans="1:64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</row>
    <row r="98" spans="1:6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</row>
    <row r="99" spans="1:64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</row>
    <row r="100" spans="1:64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</row>
    <row r="101" spans="1:64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</row>
    <row r="102" spans="1:6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</row>
    <row r="103" spans="1:64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</row>
    <row r="104" spans="1:6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</row>
    <row r="105" spans="1:64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</row>
    <row r="106" spans="1:6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</row>
    <row r="107" spans="1:64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</row>
    <row r="108" spans="1:6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</row>
    <row r="109" spans="1:64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</row>
    <row r="110" spans="1:64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</row>
    <row r="111" spans="1:6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</row>
    <row r="112" spans="1:64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</row>
    <row r="113" spans="1:77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</row>
    <row r="114" spans="1:77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</row>
    <row r="115" spans="1:77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</row>
    <row r="116" spans="1:77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</row>
    <row r="117" spans="1:77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</row>
    <row r="118" spans="1:77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</row>
    <row r="119" spans="1:77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</row>
    <row r="120" spans="1:77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</row>
    <row r="121" spans="1:77" ht="14.45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</row>
    <row r="122" spans="1:77" ht="14.45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</row>
    <row r="123" spans="1:77" ht="14.45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BX123" s="11"/>
      <c r="BY123" s="11"/>
    </row>
    <row r="124" spans="1:77" ht="14.45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BX124" s="11"/>
      <c r="BY124" s="11"/>
    </row>
    <row r="125" spans="1:77" ht="14.45" customHeigh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</row>
    <row r="126" spans="1:77" ht="14.45" customHeigh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</row>
    <row r="127" spans="1:77" ht="14.45" customHeigh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</row>
    <row r="128" spans="1:77" ht="14.45" customHeigh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</row>
    <row r="129" ht="14.45" customHeight="1" x14ac:dyDescent="0.25"/>
    <row r="130" ht="14.45" customHeight="1" x14ac:dyDescent="0.25"/>
    <row r="131" ht="14.45" customHeight="1" x14ac:dyDescent="0.25"/>
    <row r="132" ht="14.45" customHeight="1" x14ac:dyDescent="0.25"/>
    <row r="133" ht="14.45" customHeight="1" x14ac:dyDescent="0.25"/>
    <row r="134" ht="14.45" customHeight="1" x14ac:dyDescent="0.25"/>
    <row r="135" ht="14.45" customHeight="1" x14ac:dyDescent="0.25"/>
    <row r="136" ht="14.45" customHeight="1" x14ac:dyDescent="0.25"/>
    <row r="137" ht="14.45" customHeight="1" x14ac:dyDescent="0.25"/>
    <row r="138" ht="14.45" customHeight="1" x14ac:dyDescent="0.25"/>
    <row r="139" ht="14.45" customHeight="1" x14ac:dyDescent="0.25"/>
    <row r="140" ht="14.45" customHeight="1" x14ac:dyDescent="0.25"/>
    <row r="141" ht="14.45" customHeight="1" x14ac:dyDescent="0.25"/>
    <row r="142" ht="14.45" customHeight="1" x14ac:dyDescent="0.25"/>
    <row r="143" ht="14.45" customHeight="1" x14ac:dyDescent="0.25"/>
    <row r="144" ht="14.45" customHeight="1" x14ac:dyDescent="0.25"/>
    <row r="145" ht="14.45" customHeight="1" x14ac:dyDescent="0.25"/>
    <row r="146" ht="14.45" customHeight="1" x14ac:dyDescent="0.25"/>
    <row r="147" ht="14.45" customHeight="1" x14ac:dyDescent="0.25"/>
    <row r="148" ht="14.45" customHeight="1" x14ac:dyDescent="0.25"/>
    <row r="149" ht="14.45" customHeight="1" x14ac:dyDescent="0.25"/>
    <row r="150" ht="14.45" customHeight="1" x14ac:dyDescent="0.25"/>
    <row r="151" ht="14.45" customHeight="1" x14ac:dyDescent="0.25"/>
    <row r="152" ht="14.45" customHeight="1" x14ac:dyDescent="0.25"/>
    <row r="153" ht="14.45" customHeight="1" x14ac:dyDescent="0.25"/>
    <row r="154" ht="14.45" customHeight="1" x14ac:dyDescent="0.25"/>
    <row r="155" ht="14.45" customHeight="1" x14ac:dyDescent="0.25"/>
    <row r="156" ht="14.45" customHeight="1" x14ac:dyDescent="0.25"/>
    <row r="157" ht="14.45" customHeight="1" x14ac:dyDescent="0.25"/>
    <row r="158" ht="14.45" customHeight="1" x14ac:dyDescent="0.25"/>
    <row r="159" ht="14.45" customHeight="1" x14ac:dyDescent="0.25"/>
    <row r="160" ht="14.45" customHeight="1" x14ac:dyDescent="0.25"/>
    <row r="161" ht="14.45" customHeight="1" x14ac:dyDescent="0.25"/>
    <row r="162" ht="14.45" customHeight="1" x14ac:dyDescent="0.25"/>
    <row r="163" ht="14.45" customHeight="1" x14ac:dyDescent="0.25"/>
    <row r="164" ht="14.45" customHeight="1" x14ac:dyDescent="0.25"/>
    <row r="165" ht="14.45" customHeight="1" x14ac:dyDescent="0.25"/>
    <row r="166" ht="14.45" customHeight="1" x14ac:dyDescent="0.25"/>
    <row r="167" ht="14.45" customHeight="1" x14ac:dyDescent="0.25"/>
    <row r="168" ht="14.45" customHeight="1" x14ac:dyDescent="0.25"/>
    <row r="169" ht="14.45" customHeight="1" x14ac:dyDescent="0.25"/>
    <row r="170" ht="14.45" customHeight="1" x14ac:dyDescent="0.25"/>
  </sheetData>
  <mergeCells count="1">
    <mergeCell ref="BP5:BZ12"/>
  </mergeCell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D33C-3853-4FFD-8A0E-14009213147C}">
  <sheetPr>
    <tabColor theme="8" tint="0.59999389629810485"/>
  </sheetPr>
  <dimension ref="F2:BC63"/>
  <sheetViews>
    <sheetView topLeftCell="B1" zoomScale="90" zoomScaleNormal="90" workbookViewId="0">
      <selection activeCell="E19" sqref="E19"/>
    </sheetView>
  </sheetViews>
  <sheetFormatPr defaultRowHeight="15" x14ac:dyDescent="0.25"/>
  <cols>
    <col min="1" max="1" width="0" hidden="1" customWidth="1"/>
    <col min="6" max="6" width="17.7109375" bestFit="1" customWidth="1"/>
    <col min="7" max="7" width="3.7109375" bestFit="1" customWidth="1"/>
    <col min="8" max="22" width="5.7109375" bestFit="1" customWidth="1"/>
    <col min="23" max="39" width="7.7109375" bestFit="1" customWidth="1"/>
    <col min="40" max="40" width="17.7109375" hidden="1" customWidth="1"/>
    <col min="41" max="49" width="4" hidden="1" customWidth="1"/>
    <col min="51" max="51" width="3.42578125" customWidth="1"/>
    <col min="52" max="52" width="11.5703125" customWidth="1"/>
    <col min="53" max="53" width="2.85546875" customWidth="1"/>
    <col min="54" max="54" width="7.42578125" customWidth="1"/>
    <col min="55" max="55" width="4.85546875" customWidth="1"/>
  </cols>
  <sheetData>
    <row r="2" spans="6:55" ht="15.75" thickBot="1" x14ac:dyDescent="0.3"/>
    <row r="3" spans="6:55" ht="15.75" thickBot="1" x14ac:dyDescent="0.3">
      <c r="F3" s="21" t="str" cm="1">
        <f t="array" ref="F3:AW63">'Report of E4S'!A4:AR64</f>
        <v>volume</v>
      </c>
      <c r="G3" s="20" t="str">
        <v>0-19</v>
      </c>
      <c r="H3" s="15" t="str">
        <v>20-39</v>
      </c>
      <c r="I3" s="15" t="str">
        <v>40-59</v>
      </c>
      <c r="J3" s="15" t="str">
        <v>60-79</v>
      </c>
      <c r="K3" s="15" t="str">
        <v>80-99</v>
      </c>
      <c r="L3" s="15" t="str">
        <v>100-119</v>
      </c>
      <c r="M3" s="15" t="str">
        <v>120-139</v>
      </c>
      <c r="N3" s="15" t="str">
        <v>140-159</v>
      </c>
      <c r="O3" s="15" t="str">
        <v>160-179</v>
      </c>
      <c r="P3" s="15" t="str">
        <v>180-199</v>
      </c>
      <c r="Q3" s="15" t="str">
        <v>200-219</v>
      </c>
      <c r="R3" s="15" t="str">
        <v>220-239</v>
      </c>
      <c r="S3" s="15" t="str">
        <v>260-279</v>
      </c>
      <c r="T3" s="15" t="str">
        <v>280-299</v>
      </c>
      <c r="U3" s="15" t="str">
        <v>300-319</v>
      </c>
      <c r="V3" s="15" t="str">
        <v>440-459</v>
      </c>
      <c r="W3" s="15" t="str">
        <v>460-479</v>
      </c>
      <c r="X3" s="15" t="str">
        <v>480-499</v>
      </c>
      <c r="Y3" s="15" t="str">
        <v>500-519</v>
      </c>
      <c r="Z3" s="15" t="str">
        <v>700-719</v>
      </c>
      <c r="AA3" s="15" t="str">
        <v>Totale complessivo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6">
        <v>0</v>
      </c>
    </row>
    <row r="4" spans="6:55" x14ac:dyDescent="0.25">
      <c r="F4" s="17" t="str">
        <v>0-5000</v>
      </c>
      <c r="G4" s="14">
        <v>2</v>
      </c>
      <c r="H4" s="13">
        <v>4</v>
      </c>
      <c r="I4" s="13">
        <v>3</v>
      </c>
      <c r="J4" s="13">
        <v>2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2.6666666666666665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</row>
    <row r="5" spans="6:55" x14ac:dyDescent="0.25">
      <c r="F5" s="18" t="str">
        <v>5000-10000</v>
      </c>
      <c r="G5" s="12">
        <v>0</v>
      </c>
      <c r="H5" s="9">
        <v>4</v>
      </c>
      <c r="I5" s="9">
        <v>4</v>
      </c>
      <c r="J5" s="9">
        <v>4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4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</row>
    <row r="6" spans="6:55" x14ac:dyDescent="0.25">
      <c r="F6" s="18" t="str">
        <v>10000-15000</v>
      </c>
      <c r="G6" s="12">
        <v>0</v>
      </c>
      <c r="H6" s="9">
        <v>0</v>
      </c>
      <c r="I6" s="9">
        <v>4.333333333333333</v>
      </c>
      <c r="J6" s="9">
        <v>5</v>
      </c>
      <c r="K6" s="9">
        <v>5.6</v>
      </c>
      <c r="L6" s="9">
        <v>6</v>
      </c>
      <c r="M6" s="9">
        <v>6.666666666666667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5.4666666666666668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Z6" s="22"/>
      <c r="BA6" s="7"/>
      <c r="BB6" s="7"/>
    </row>
    <row r="7" spans="6:55" x14ac:dyDescent="0.25">
      <c r="F7" s="18" t="str">
        <v>15000-20000</v>
      </c>
      <c r="G7" s="12">
        <v>1</v>
      </c>
      <c r="H7" s="9">
        <v>0</v>
      </c>
      <c r="I7" s="9">
        <v>3</v>
      </c>
      <c r="J7" s="9">
        <v>0</v>
      </c>
      <c r="K7" s="9">
        <v>4.5</v>
      </c>
      <c r="L7" s="9">
        <v>6.333333333333333</v>
      </c>
      <c r="M7" s="9">
        <v>8.3333333333333339</v>
      </c>
      <c r="N7" s="9">
        <v>0</v>
      </c>
      <c r="O7" s="9">
        <v>10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5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Z7" s="22"/>
      <c r="BA7" s="7"/>
      <c r="BB7" s="7"/>
    </row>
    <row r="8" spans="6:55" x14ac:dyDescent="0.25">
      <c r="F8" s="18" t="str">
        <v>20000-25000</v>
      </c>
      <c r="G8" s="12">
        <v>4</v>
      </c>
      <c r="H8" s="9">
        <v>4</v>
      </c>
      <c r="I8" s="9">
        <v>0</v>
      </c>
      <c r="J8" s="9">
        <v>0</v>
      </c>
      <c r="K8" s="9">
        <v>0</v>
      </c>
      <c r="L8" s="9">
        <v>8</v>
      </c>
      <c r="M8" s="9">
        <v>0</v>
      </c>
      <c r="N8" s="9">
        <v>0</v>
      </c>
      <c r="O8" s="9">
        <v>0</v>
      </c>
      <c r="P8" s="9">
        <v>10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6.5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Z8" s="22"/>
      <c r="BA8" s="7"/>
      <c r="BB8" s="7"/>
    </row>
    <row r="9" spans="6:55" x14ac:dyDescent="0.25">
      <c r="F9" s="18" t="str">
        <v>25000-30000</v>
      </c>
      <c r="G9" s="12">
        <v>0</v>
      </c>
      <c r="H9" s="9">
        <v>0</v>
      </c>
      <c r="I9" s="9">
        <v>0</v>
      </c>
      <c r="J9" s="9">
        <v>5</v>
      </c>
      <c r="K9" s="9">
        <v>0</v>
      </c>
      <c r="L9" s="9">
        <v>7.666666666666667</v>
      </c>
      <c r="M9" s="9">
        <v>0</v>
      </c>
      <c r="N9" s="9">
        <v>9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7.4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Z9" s="22"/>
      <c r="BB9" s="7"/>
    </row>
    <row r="10" spans="6:55" x14ac:dyDescent="0.25">
      <c r="F10" s="18" t="str">
        <v>30000-35000</v>
      </c>
      <c r="G10" s="12">
        <v>0</v>
      </c>
      <c r="H10" s="9">
        <v>0</v>
      </c>
      <c r="I10" s="9">
        <v>0</v>
      </c>
      <c r="J10" s="9">
        <v>0</v>
      </c>
      <c r="K10" s="9">
        <v>7</v>
      </c>
      <c r="L10" s="9">
        <v>7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7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Z10" s="24"/>
      <c r="BA10" s="25"/>
      <c r="BB10" s="26"/>
      <c r="BC10" s="27"/>
    </row>
    <row r="11" spans="6:55" x14ac:dyDescent="0.25">
      <c r="F11" s="18" t="str">
        <v>35000-40000</v>
      </c>
      <c r="G11" s="12">
        <v>0</v>
      </c>
      <c r="H11" s="9">
        <v>0</v>
      </c>
      <c r="I11" s="9">
        <v>4</v>
      </c>
      <c r="J11" s="9">
        <v>5</v>
      </c>
      <c r="K11" s="9">
        <v>0</v>
      </c>
      <c r="L11" s="9">
        <v>0</v>
      </c>
      <c r="M11" s="9">
        <v>8</v>
      </c>
      <c r="N11" s="9">
        <v>18</v>
      </c>
      <c r="O11" s="9">
        <v>0</v>
      </c>
      <c r="P11" s="9">
        <v>0</v>
      </c>
      <c r="Q11" s="9">
        <v>0</v>
      </c>
      <c r="R11" s="9">
        <v>14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9.8000000000000007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Z11" s="24"/>
      <c r="BA11" s="25"/>
      <c r="BB11" s="25"/>
      <c r="BC11" s="27"/>
    </row>
    <row r="12" spans="6:55" x14ac:dyDescent="0.25">
      <c r="F12" s="18" t="str">
        <v>40000-45000</v>
      </c>
      <c r="G12" s="12">
        <v>4</v>
      </c>
      <c r="H12" s="9">
        <v>0</v>
      </c>
      <c r="I12" s="9">
        <v>0</v>
      </c>
      <c r="J12" s="9">
        <v>6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5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</row>
    <row r="13" spans="6:55" x14ac:dyDescent="0.25">
      <c r="F13" s="18" t="str">
        <v>45000-50000</v>
      </c>
      <c r="G13" s="12">
        <v>0</v>
      </c>
      <c r="H13" s="9">
        <v>0</v>
      </c>
      <c r="I13" s="9">
        <v>0</v>
      </c>
      <c r="J13" s="9">
        <v>0</v>
      </c>
      <c r="K13" s="9">
        <v>0</v>
      </c>
      <c r="L13" s="9">
        <v>12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12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</row>
    <row r="14" spans="6:55" x14ac:dyDescent="0.25">
      <c r="F14" s="18" t="str">
        <v>50000-55000</v>
      </c>
      <c r="G14" s="12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12</v>
      </c>
      <c r="O14" s="9">
        <v>0</v>
      </c>
      <c r="P14" s="9">
        <v>0</v>
      </c>
      <c r="Q14" s="9">
        <v>0</v>
      </c>
      <c r="R14" s="9">
        <v>0</v>
      </c>
      <c r="S14" s="9">
        <v>15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13.5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</row>
    <row r="15" spans="6:55" x14ac:dyDescent="0.25">
      <c r="F15" s="18" t="str">
        <v>60000-65000</v>
      </c>
      <c r="G15" s="12">
        <v>0</v>
      </c>
      <c r="H15" s="9">
        <v>0</v>
      </c>
      <c r="I15" s="9">
        <v>4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26</v>
      </c>
      <c r="W15" s="9">
        <v>0</v>
      </c>
      <c r="X15" s="9">
        <v>0</v>
      </c>
      <c r="Y15" s="9">
        <v>0</v>
      </c>
      <c r="Z15" s="9">
        <v>0</v>
      </c>
      <c r="AA15" s="9">
        <v>15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</row>
    <row r="16" spans="6:55" x14ac:dyDescent="0.25">
      <c r="F16" s="18" t="str">
        <v>65000-70000</v>
      </c>
      <c r="G16" s="12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30</v>
      </c>
      <c r="W16" s="9">
        <v>0</v>
      </c>
      <c r="X16" s="9">
        <v>0</v>
      </c>
      <c r="Y16" s="9">
        <v>0</v>
      </c>
      <c r="Z16" s="9">
        <v>0</v>
      </c>
      <c r="AA16" s="9">
        <v>30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</row>
    <row r="17" spans="6:49" x14ac:dyDescent="0.25">
      <c r="F17" s="18" t="str">
        <v>70000-75000</v>
      </c>
      <c r="G17" s="12">
        <v>0</v>
      </c>
      <c r="H17" s="9">
        <v>0</v>
      </c>
      <c r="I17" s="9">
        <v>0</v>
      </c>
      <c r="J17" s="9">
        <v>5</v>
      </c>
      <c r="K17" s="9">
        <v>0</v>
      </c>
      <c r="L17" s="9">
        <v>6</v>
      </c>
      <c r="M17" s="9">
        <v>8</v>
      </c>
      <c r="N17" s="9">
        <v>9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26</v>
      </c>
      <c r="W17" s="9">
        <v>0</v>
      </c>
      <c r="X17" s="9">
        <v>0</v>
      </c>
      <c r="Y17" s="9">
        <v>0</v>
      </c>
      <c r="Z17" s="9">
        <v>0</v>
      </c>
      <c r="AA17" s="9">
        <v>10.8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</row>
    <row r="18" spans="6:49" x14ac:dyDescent="0.25">
      <c r="F18" s="18" t="str">
        <v>75000-80000</v>
      </c>
      <c r="G18" s="12">
        <v>0</v>
      </c>
      <c r="H18" s="9">
        <v>0</v>
      </c>
      <c r="I18" s="9">
        <v>0</v>
      </c>
      <c r="J18" s="9">
        <v>0</v>
      </c>
      <c r="K18" s="9">
        <v>0</v>
      </c>
      <c r="L18" s="9">
        <v>6</v>
      </c>
      <c r="M18" s="9">
        <v>0</v>
      </c>
      <c r="N18" s="9">
        <v>9.5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7.75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</row>
    <row r="19" spans="6:49" x14ac:dyDescent="0.25">
      <c r="F19" s="18" t="str">
        <v>85000-90000</v>
      </c>
      <c r="G19" s="12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18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18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</row>
    <row r="20" spans="6:49" x14ac:dyDescent="0.25">
      <c r="F20" s="18" t="str">
        <v>90000-95000</v>
      </c>
      <c r="G20" s="12">
        <v>0</v>
      </c>
      <c r="H20" s="9">
        <v>0</v>
      </c>
      <c r="I20" s="9">
        <v>0</v>
      </c>
      <c r="J20" s="9">
        <v>6</v>
      </c>
      <c r="K20" s="9">
        <v>7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6.5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</row>
    <row r="21" spans="6:49" x14ac:dyDescent="0.25">
      <c r="F21" s="18" t="str">
        <v>95000-100000</v>
      </c>
      <c r="G21" s="12">
        <v>0</v>
      </c>
      <c r="H21" s="9">
        <v>0</v>
      </c>
      <c r="I21" s="9">
        <v>0</v>
      </c>
      <c r="J21" s="9">
        <v>8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8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</row>
    <row r="22" spans="6:49" x14ac:dyDescent="0.25">
      <c r="F22" s="18" t="str">
        <v>105000-110000</v>
      </c>
      <c r="G22" s="12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14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39</v>
      </c>
      <c r="Z22" s="9">
        <v>0</v>
      </c>
      <c r="AA22" s="9">
        <v>26.5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</row>
    <row r="23" spans="6:49" x14ac:dyDescent="0.25">
      <c r="F23" s="18" t="str">
        <v>110000-115000</v>
      </c>
      <c r="G23" s="12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11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11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</row>
    <row r="24" spans="6:49" x14ac:dyDescent="0.25">
      <c r="F24" s="18" t="str">
        <v>145000-150000</v>
      </c>
      <c r="G24" s="12">
        <v>0</v>
      </c>
      <c r="H24" s="9">
        <v>0</v>
      </c>
      <c r="I24" s="9">
        <v>0</v>
      </c>
      <c r="J24" s="9">
        <v>8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8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</row>
    <row r="25" spans="6:49" x14ac:dyDescent="0.25">
      <c r="F25" s="18" t="str">
        <v>185000-190000</v>
      </c>
      <c r="G25" s="12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44</v>
      </c>
      <c r="AA25" s="9">
        <v>44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</row>
    <row r="26" spans="6:49" x14ac:dyDescent="0.25">
      <c r="F26" s="18" t="str">
        <v>210000-215000</v>
      </c>
      <c r="G26" s="12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40</v>
      </c>
      <c r="AA26" s="9">
        <v>40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</row>
    <row r="27" spans="6:49" x14ac:dyDescent="0.25">
      <c r="F27" s="18" t="str">
        <v>215000-220000</v>
      </c>
      <c r="G27" s="12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41</v>
      </c>
      <c r="Y27" s="9">
        <v>0</v>
      </c>
      <c r="Z27" s="9">
        <v>0</v>
      </c>
      <c r="AA27" s="9">
        <v>41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</row>
    <row r="28" spans="6:49" x14ac:dyDescent="0.25">
      <c r="F28" s="18" t="str">
        <v>220000-225000</v>
      </c>
      <c r="G28" s="12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41</v>
      </c>
      <c r="Y28" s="9">
        <v>0</v>
      </c>
      <c r="Z28" s="9">
        <v>0</v>
      </c>
      <c r="AA28" s="9">
        <v>41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</row>
    <row r="29" spans="6:49" x14ac:dyDescent="0.25">
      <c r="F29" s="18" t="str">
        <v>260000-265000</v>
      </c>
      <c r="G29" s="12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24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24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</row>
    <row r="30" spans="6:49" x14ac:dyDescent="0.25">
      <c r="F30" s="18" t="str">
        <v>295000-300000</v>
      </c>
      <c r="G30" s="12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21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21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</row>
    <row r="31" spans="6:49" x14ac:dyDescent="0.25">
      <c r="F31" s="18" t="str">
        <v>375000-380000</v>
      </c>
      <c r="G31" s="12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34</v>
      </c>
      <c r="X31" s="9">
        <v>0</v>
      </c>
      <c r="Y31" s="9">
        <v>0</v>
      </c>
      <c r="Z31" s="9">
        <v>0</v>
      </c>
      <c r="AA31" s="9">
        <v>34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</row>
    <row r="32" spans="6:49" x14ac:dyDescent="0.25">
      <c r="F32" s="18" t="str">
        <v>Totale complessivo</v>
      </c>
      <c r="G32" s="12">
        <v>2</v>
      </c>
      <c r="H32" s="9">
        <v>4</v>
      </c>
      <c r="I32" s="9">
        <v>3.7777777777777777</v>
      </c>
      <c r="J32" s="9">
        <v>5.333333333333333</v>
      </c>
      <c r="K32" s="9">
        <v>5.9090909090909092</v>
      </c>
      <c r="L32" s="9">
        <v>7.1428571428571432</v>
      </c>
      <c r="M32" s="9">
        <v>7.625</v>
      </c>
      <c r="N32" s="9">
        <v>11.166666666666666</v>
      </c>
      <c r="O32" s="9">
        <v>10</v>
      </c>
      <c r="P32" s="9">
        <v>10</v>
      </c>
      <c r="Q32" s="9">
        <v>12.5</v>
      </c>
      <c r="R32" s="9">
        <v>14</v>
      </c>
      <c r="S32" s="9">
        <v>16.5</v>
      </c>
      <c r="T32" s="9">
        <v>21</v>
      </c>
      <c r="U32" s="9">
        <v>24</v>
      </c>
      <c r="V32" s="9">
        <v>27.333333333333332</v>
      </c>
      <c r="W32" s="9">
        <v>34</v>
      </c>
      <c r="X32" s="9">
        <v>41</v>
      </c>
      <c r="Y32" s="9">
        <v>39</v>
      </c>
      <c r="Z32" s="9">
        <v>42</v>
      </c>
      <c r="AA32" s="9">
        <v>9.7888888888888896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</row>
    <row r="33" spans="6:49" x14ac:dyDescent="0.25">
      <c r="F33" s="18">
        <v>0</v>
      </c>
      <c r="G33" s="12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</row>
    <row r="34" spans="6:49" x14ac:dyDescent="0.25">
      <c r="F34" s="18">
        <v>0</v>
      </c>
      <c r="G34" s="12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</row>
    <row r="35" spans="6:49" x14ac:dyDescent="0.25">
      <c r="F35" s="18">
        <v>0</v>
      </c>
      <c r="G35" s="12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</row>
    <row r="36" spans="6:49" x14ac:dyDescent="0.25">
      <c r="F36" s="18">
        <v>0</v>
      </c>
      <c r="G36" s="12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</row>
    <row r="37" spans="6:49" x14ac:dyDescent="0.25">
      <c r="F37" s="18">
        <v>0</v>
      </c>
      <c r="G37" s="12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</row>
    <row r="38" spans="6:49" x14ac:dyDescent="0.25">
      <c r="F38" s="18">
        <v>0</v>
      </c>
      <c r="G38" s="12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</row>
    <row r="39" spans="6:49" x14ac:dyDescent="0.25">
      <c r="F39" s="18">
        <v>0</v>
      </c>
      <c r="G39" s="12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</row>
    <row r="40" spans="6:49" x14ac:dyDescent="0.25">
      <c r="F40" s="18">
        <v>0</v>
      </c>
      <c r="G40" s="12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</row>
    <row r="41" spans="6:49" x14ac:dyDescent="0.25">
      <c r="F41" s="18">
        <v>0</v>
      </c>
      <c r="G41" s="12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</row>
    <row r="42" spans="6:49" x14ac:dyDescent="0.25">
      <c r="F42" s="18">
        <v>0</v>
      </c>
      <c r="G42" s="12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</row>
    <row r="43" spans="6:49" x14ac:dyDescent="0.25">
      <c r="F43" s="18">
        <v>0</v>
      </c>
      <c r="G43" s="12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</row>
    <row r="44" spans="6:49" x14ac:dyDescent="0.25">
      <c r="F44" s="18">
        <v>0</v>
      </c>
      <c r="G44" s="12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</row>
    <row r="45" spans="6:49" x14ac:dyDescent="0.25">
      <c r="F45" s="18">
        <v>0</v>
      </c>
      <c r="G45" s="12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</row>
    <row r="46" spans="6:49" x14ac:dyDescent="0.25">
      <c r="F46" s="18">
        <v>0</v>
      </c>
      <c r="G46" s="12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</row>
    <row r="47" spans="6:49" x14ac:dyDescent="0.25">
      <c r="F47" s="18">
        <v>0</v>
      </c>
      <c r="G47" s="12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</row>
    <row r="48" spans="6:49" x14ac:dyDescent="0.25">
      <c r="F48" s="18">
        <v>0</v>
      </c>
      <c r="G48" s="12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</row>
    <row r="49" spans="6:49" x14ac:dyDescent="0.25">
      <c r="F49" s="18">
        <v>0</v>
      </c>
      <c r="G49" s="12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</row>
    <row r="50" spans="6:49" x14ac:dyDescent="0.25">
      <c r="F50" s="18">
        <v>0</v>
      </c>
      <c r="G50" s="12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</row>
    <row r="51" spans="6:49" x14ac:dyDescent="0.25">
      <c r="F51" s="18">
        <v>0</v>
      </c>
      <c r="G51" s="12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</row>
    <row r="52" spans="6:49" x14ac:dyDescent="0.25">
      <c r="F52" s="18">
        <v>0</v>
      </c>
      <c r="G52" s="12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</row>
    <row r="53" spans="6:49" x14ac:dyDescent="0.25">
      <c r="F53" s="18">
        <v>0</v>
      </c>
      <c r="G53" s="12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</row>
    <row r="54" spans="6:49" x14ac:dyDescent="0.25">
      <c r="F54" s="18">
        <v>0</v>
      </c>
      <c r="G54" s="12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</row>
    <row r="55" spans="6:49" x14ac:dyDescent="0.25">
      <c r="F55" s="18">
        <v>0</v>
      </c>
      <c r="G55" s="12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</row>
    <row r="56" spans="6:49" x14ac:dyDescent="0.25">
      <c r="F56" s="18">
        <v>0</v>
      </c>
      <c r="G56" s="12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</row>
    <row r="57" spans="6:49" x14ac:dyDescent="0.25">
      <c r="F57" s="18">
        <v>0</v>
      </c>
      <c r="G57" s="12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</row>
    <row r="58" spans="6:49" x14ac:dyDescent="0.25">
      <c r="F58" s="18">
        <v>0</v>
      </c>
      <c r="G58" s="12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</row>
    <row r="59" spans="6:49" x14ac:dyDescent="0.25">
      <c r="F59" s="18">
        <v>0</v>
      </c>
      <c r="G59" s="12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</row>
    <row r="60" spans="6:49" x14ac:dyDescent="0.25">
      <c r="F60" s="18">
        <v>0</v>
      </c>
      <c r="G60" s="12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</row>
    <row r="61" spans="6:49" x14ac:dyDescent="0.25">
      <c r="F61" s="18">
        <v>0</v>
      </c>
      <c r="G61" s="12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</row>
    <row r="62" spans="6:49" x14ac:dyDescent="0.25">
      <c r="F62" s="18">
        <v>0</v>
      </c>
      <c r="G62" s="12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</row>
    <row r="63" spans="6:49" ht="15.75" thickBot="1" x14ac:dyDescent="0.3">
      <c r="F63" s="19">
        <v>0</v>
      </c>
      <c r="G63" s="12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</row>
  </sheetData>
  <conditionalFormatting sqref="G4:AW63">
    <cfRule type="cellIs" dxfId="0" priority="1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E762-19B1-40FF-9E3E-254DE0F9C673}">
  <dimension ref="A1:B4"/>
  <sheetViews>
    <sheetView workbookViewId="0">
      <selection activeCell="L24" sqref="L24"/>
    </sheetView>
  </sheetViews>
  <sheetFormatPr defaultColWidth="19.5703125" defaultRowHeight="15" x14ac:dyDescent="0.25"/>
  <cols>
    <col min="1" max="1" width="20.42578125" bestFit="1" customWidth="1"/>
    <col min="2" max="2" width="8.85546875" bestFit="1" customWidth="1"/>
    <col min="3" max="44" width="3" bestFit="1" customWidth="1"/>
    <col min="45" max="61" width="4" bestFit="1" customWidth="1"/>
    <col min="62" max="62" width="7.28515625" bestFit="1" customWidth="1"/>
    <col min="63" max="63" width="18.28515625" bestFit="1" customWidth="1"/>
  </cols>
  <sheetData>
    <row r="1" spans="1:2" x14ac:dyDescent="0.25">
      <c r="A1" s="8" t="s">
        <v>3</v>
      </c>
      <c r="B1" t="s">
        <v>445</v>
      </c>
    </row>
    <row r="3" spans="1:2" x14ac:dyDescent="0.25">
      <c r="A3" s="9" t="s">
        <v>425</v>
      </c>
    </row>
    <row r="4" spans="1:2" x14ac:dyDescent="0.25">
      <c r="A4">
        <v>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16</vt:i4>
      </vt:variant>
    </vt:vector>
  </HeadingPairs>
  <TitlesOfParts>
    <vt:vector size="16" baseType="lpstr">
      <vt:lpstr>Data</vt:lpstr>
      <vt:lpstr>E4S (A x PPH)</vt:lpstr>
      <vt:lpstr>E4S (L x H)</vt:lpstr>
      <vt:lpstr>E4S (L x D)</vt:lpstr>
      <vt:lpstr>E4S (V x PPH)</vt:lpstr>
      <vt:lpstr>E4S (pp x PPH)</vt:lpstr>
      <vt:lpstr>ESS (A x PPH)</vt:lpstr>
      <vt:lpstr>ESS (L x H)</vt:lpstr>
      <vt:lpstr>ESS (L x D)</vt:lpstr>
      <vt:lpstr>ESS (V x PPH)</vt:lpstr>
      <vt:lpstr>ESS (pp x PPH)</vt:lpstr>
      <vt:lpstr>Report of E4S</vt:lpstr>
      <vt:lpstr>E4S Configurator</vt:lpstr>
      <vt:lpstr>Report of ESS</vt:lpstr>
      <vt:lpstr>ESS Configurator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Edoardo Ottani</dc:creator>
  <cp:keywords/>
  <dc:description/>
  <cp:lastModifiedBy>Mattia  Forneron</cp:lastModifiedBy>
  <cp:revision/>
  <dcterms:created xsi:type="dcterms:W3CDTF">2024-10-07T09:31:18Z</dcterms:created>
  <dcterms:modified xsi:type="dcterms:W3CDTF">2025-05-14T12:48:31Z</dcterms:modified>
  <cp:category/>
  <cp:contentStatus/>
</cp:coreProperties>
</file>