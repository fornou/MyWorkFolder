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attia.forneron\Desktop\myfolder\MyWorkFolder\eurofork\prj_01\"/>
    </mc:Choice>
  </mc:AlternateContent>
  <xr:revisionPtr revIDLastSave="0" documentId="13_ncr:1_{F1B386EE-F238-4728-80DB-2DF954EEDC5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E3" i="1"/>
  <c r="F3" i="1"/>
  <c r="C13" i="1"/>
  <c r="K7" i="1" l="1"/>
  <c r="C10" i="1" l="1"/>
  <c r="I7" i="1" l="1"/>
  <c r="J7" i="1" s="1"/>
  <c r="F4" i="1"/>
  <c r="D3" i="1"/>
  <c r="I9" i="1" l="1"/>
  <c r="I8" i="1"/>
  <c r="I4" i="1"/>
  <c r="I3" i="1"/>
  <c r="I5" i="1"/>
  <c r="J4" i="1"/>
  <c r="J3" i="1"/>
  <c r="J8" i="1" l="1"/>
  <c r="K8" i="1" s="1"/>
  <c r="J9" i="1"/>
  <c r="K9" i="1" s="1"/>
  <c r="K4" i="1"/>
  <c r="K3" i="1"/>
  <c r="J5" i="1"/>
  <c r="I11" i="1" s="1"/>
  <c r="I12" i="1" l="1"/>
  <c r="K5" i="1"/>
</calcChain>
</file>

<file path=xl/sharedStrings.xml><?xml version="1.0" encoding="utf-8"?>
<sst xmlns="http://schemas.openxmlformats.org/spreadsheetml/2006/main" count="33" uniqueCount="32">
  <si>
    <t>Dimensioni</t>
  </si>
  <si>
    <t>Magazzino</t>
  </si>
  <si>
    <t>Pallet</t>
  </si>
  <si>
    <t>Main Lane</t>
  </si>
  <si>
    <t>Canale</t>
  </si>
  <si>
    <t>Canale Sx e Dx</t>
  </si>
  <si>
    <t>Tra canale e fondo</t>
  </si>
  <si>
    <t xml:space="preserve"> Lati</t>
  </si>
  <si>
    <t>N° Pallet senza spazi</t>
  </si>
  <si>
    <t>N° Pallet con distanze agli estremi</t>
  </si>
  <si>
    <t>N° Pallet in Canale</t>
  </si>
  <si>
    <t>N° Pallet in Canali</t>
  </si>
  <si>
    <t>Calcola N° Canali</t>
  </si>
  <si>
    <t>Calcola Pallet  In Canale Sx e Dx</t>
  </si>
  <si>
    <t>N° Canali senza spazi</t>
  </si>
  <si>
    <t>N° Canali con distanze agli estremi</t>
  </si>
  <si>
    <t>Tra canali</t>
  </si>
  <si>
    <t>Tra slot e fondo</t>
  </si>
  <si>
    <t>Tra slot e Main Lane</t>
  </si>
  <si>
    <t>Lunghezza</t>
  </si>
  <si>
    <t>Larghezza</t>
  </si>
  <si>
    <t xml:space="preserve">N° Canali con distanze </t>
  </si>
  <si>
    <t>Tra centri canale</t>
  </si>
  <si>
    <t>Tra pallet in canale</t>
  </si>
  <si>
    <t>Tra pallet di canali paralleli</t>
  </si>
  <si>
    <t>Sbordo pallet</t>
  </si>
  <si>
    <t>Distanza</t>
  </si>
  <si>
    <t>N° Pallet con distanze</t>
  </si>
  <si>
    <t>Descrizione</t>
  </si>
  <si>
    <t>N° intero</t>
  </si>
  <si>
    <t>N° non intero</t>
  </si>
  <si>
    <t>Avanzo di spazio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</si>
</sst>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3" borderId="1" xfId="0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O10" sqref="O10"/>
    </sheetView>
  </sheetViews>
  <sheetFormatPr defaultRowHeight="15" x14ac:dyDescent="0.25"/>
  <cols>
    <col min="1" max="1" width="12.85546875" customWidth="1"/>
    <col min="2" max="2" width="11.28515625" customWidth="1"/>
    <col min="3" max="3" width="11.42578125" customWidth="1"/>
    <col min="4" max="4" width="10.42578125" customWidth="1"/>
    <col min="6" max="6" width="15.140625" customWidth="1"/>
    <col min="8" max="8" width="32.5703125" customWidth="1"/>
    <col min="9" max="9" width="13.7109375" customWidth="1"/>
    <col min="10" max="10" width="12.7109375" customWidth="1"/>
    <col min="11" max="11" width="15.140625" customWidth="1"/>
    <col min="12" max="12" width="6.28515625" customWidth="1"/>
    <col min="13" max="13" width="6.85546875" customWidth="1"/>
    <col min="14" max="14" width="7.28515625" customWidth="1"/>
  </cols>
  <sheetData>
    <row r="1" spans="1:11" x14ac:dyDescent="0.25">
      <c r="A1" s="7" t="s">
        <v>0</v>
      </c>
      <c r="B1" s="8"/>
      <c r="C1" s="8"/>
      <c r="D1" s="8"/>
      <c r="E1" s="8"/>
      <c r="F1" s="9"/>
      <c r="H1" s="10" t="s">
        <v>13</v>
      </c>
      <c r="I1" s="11"/>
      <c r="J1" s="11"/>
      <c r="K1" s="11"/>
    </row>
    <row r="2" spans="1:11" x14ac:dyDescent="0.25">
      <c r="A2" s="1" t="s">
        <v>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H2" s="6" t="s">
        <v>28</v>
      </c>
      <c r="I2" s="6" t="s">
        <v>30</v>
      </c>
      <c r="J2" s="6" t="s">
        <v>29</v>
      </c>
      <c r="K2" s="6" t="s">
        <v>31</v>
      </c>
    </row>
    <row r="3" spans="1:11" x14ac:dyDescent="0.25">
      <c r="A3" s="1" t="s">
        <v>19</v>
      </c>
      <c r="B3" s="26">
        <v>60000</v>
      </c>
      <c r="C3" s="26">
        <v>1200</v>
      </c>
      <c r="D3" s="3">
        <f>B3</f>
        <v>60000</v>
      </c>
      <c r="E3" s="3">
        <f>B4-D4</f>
        <v>28800</v>
      </c>
      <c r="F3" s="3">
        <f>E3/2</f>
        <v>14400</v>
      </c>
      <c r="H3" s="1" t="s">
        <v>8</v>
      </c>
      <c r="I3" s="3">
        <f>F3/C4</f>
        <v>14.4</v>
      </c>
      <c r="J3" s="3">
        <f>_xlfn.FLOOR.MATH(I3)</f>
        <v>14</v>
      </c>
      <c r="K3" s="3">
        <f>(I3-J3)*$C$3</f>
        <v>480.00000000000045</v>
      </c>
    </row>
    <row r="4" spans="1:11" x14ac:dyDescent="0.25">
      <c r="A4" s="1" t="s">
        <v>20</v>
      </c>
      <c r="B4" s="26">
        <v>30000</v>
      </c>
      <c r="C4" s="26">
        <v>1000</v>
      </c>
      <c r="D4" s="26">
        <v>1200</v>
      </c>
      <c r="E4" s="26">
        <v>1000</v>
      </c>
      <c r="F4" s="3">
        <f>E4</f>
        <v>1000</v>
      </c>
      <c r="H4" s="1" t="s">
        <v>9</v>
      </c>
      <c r="I4" s="3">
        <f>(F3-(C8+C9))/C4</f>
        <v>14.3</v>
      </c>
      <c r="J4" s="3">
        <f>_xlfn.FLOOR.MATH(I4)</f>
        <v>14</v>
      </c>
      <c r="K4" s="3">
        <f>(I4-J4)*$C$3</f>
        <v>360.00000000000085</v>
      </c>
    </row>
    <row r="5" spans="1:11" x14ac:dyDescent="0.25">
      <c r="H5" s="1" t="s">
        <v>27</v>
      </c>
      <c r="I5" s="3">
        <f>((F3-(C9+C8))+C7)/(C4+C7)</f>
        <v>13.666666666666666</v>
      </c>
      <c r="J5" s="3">
        <f>_xlfn.FLOOR.MATH(I5)</f>
        <v>13</v>
      </c>
      <c r="K5" s="3">
        <f>(I5-J5)*$C$3</f>
        <v>799.99999999999932</v>
      </c>
    </row>
    <row r="6" spans="1:11" x14ac:dyDescent="0.25">
      <c r="A6" s="14" t="s">
        <v>26</v>
      </c>
      <c r="B6" s="14"/>
      <c r="C6" s="14"/>
      <c r="D6" s="14"/>
      <c r="E6" s="4"/>
      <c r="F6" s="4"/>
      <c r="H6" s="12" t="s">
        <v>12</v>
      </c>
      <c r="I6" s="13"/>
      <c r="J6" s="13"/>
      <c r="K6" s="13"/>
    </row>
    <row r="7" spans="1:11" x14ac:dyDescent="0.25">
      <c r="A7" s="22" t="s">
        <v>23</v>
      </c>
      <c r="B7" s="22"/>
      <c r="C7" s="27">
        <v>50</v>
      </c>
      <c r="D7" s="27"/>
      <c r="H7" s="1" t="s">
        <v>14</v>
      </c>
      <c r="I7" s="3">
        <f>B3/E4</f>
        <v>60</v>
      </c>
      <c r="J7" s="3">
        <f>_xlfn.FLOOR.MATH(I7)</f>
        <v>60</v>
      </c>
      <c r="K7" s="3">
        <f>(I7-J7)*$E$3</f>
        <v>0</v>
      </c>
    </row>
    <row r="8" spans="1:11" ht="14.25" customHeight="1" x14ac:dyDescent="0.25">
      <c r="A8" s="2" t="s">
        <v>18</v>
      </c>
      <c r="B8" s="2"/>
      <c r="C8" s="27">
        <v>50</v>
      </c>
      <c r="D8" s="27"/>
      <c r="H8" s="5" t="s">
        <v>15</v>
      </c>
      <c r="I8" s="3">
        <f>(D3-(2*C11))/C4</f>
        <v>58</v>
      </c>
      <c r="J8" s="3">
        <f>_xlfn.FLOOR.MATH(I8)</f>
        <v>58</v>
      </c>
      <c r="K8" s="3">
        <f t="shared" ref="K8:K9" si="0">(I8-J8)*$E$3</f>
        <v>0</v>
      </c>
    </row>
    <row r="9" spans="1:11" ht="13.5" customHeight="1" thickBot="1" x14ac:dyDescent="0.3">
      <c r="A9" s="23" t="s">
        <v>17</v>
      </c>
      <c r="B9" s="23"/>
      <c r="C9" s="28">
        <v>50</v>
      </c>
      <c r="D9" s="28"/>
      <c r="H9" s="1" t="s">
        <v>21</v>
      </c>
      <c r="I9" s="3">
        <f>((D3-(C11*2))+C10)/(E4+C10)</f>
        <v>48.5</v>
      </c>
      <c r="J9" s="3">
        <f>_xlfn.FLOOR.MATH(I9)</f>
        <v>48</v>
      </c>
      <c r="K9" s="3">
        <f t="shared" si="0"/>
        <v>14400</v>
      </c>
    </row>
    <row r="10" spans="1:11" x14ac:dyDescent="0.25">
      <c r="A10" s="15" t="s">
        <v>24</v>
      </c>
      <c r="B10" s="15"/>
      <c r="C10" s="16">
        <f>C12-C3</f>
        <v>200</v>
      </c>
      <c r="D10" s="16"/>
      <c r="H10" s="12" t="s">
        <v>13</v>
      </c>
      <c r="I10" s="13"/>
      <c r="J10" s="13"/>
      <c r="K10" s="13"/>
    </row>
    <row r="11" spans="1:11" ht="15.75" customHeight="1" x14ac:dyDescent="0.25">
      <c r="A11" s="21" t="s">
        <v>6</v>
      </c>
      <c r="B11" s="21"/>
      <c r="C11" s="27">
        <v>1000</v>
      </c>
      <c r="D11" s="27"/>
      <c r="H11" s="1" t="s">
        <v>10</v>
      </c>
      <c r="I11" s="18">
        <f>J5*2</f>
        <v>26</v>
      </c>
      <c r="J11" s="19"/>
      <c r="K11" s="20"/>
    </row>
    <row r="12" spans="1:11" x14ac:dyDescent="0.25">
      <c r="A12" s="21" t="s">
        <v>22</v>
      </c>
      <c r="B12" s="21"/>
      <c r="C12" s="27">
        <v>1400</v>
      </c>
      <c r="D12" s="27"/>
      <c r="H12" s="1" t="s">
        <v>11</v>
      </c>
      <c r="I12" s="18">
        <f>I11*J9</f>
        <v>1248</v>
      </c>
      <c r="J12" s="19"/>
      <c r="K12" s="20"/>
    </row>
    <row r="13" spans="1:11" x14ac:dyDescent="0.25">
      <c r="A13" s="22" t="s">
        <v>16</v>
      </c>
      <c r="B13" s="22"/>
      <c r="C13" s="17">
        <f>(C3-E4)+C10</f>
        <v>400</v>
      </c>
      <c r="D13" s="17"/>
    </row>
    <row r="14" spans="1:11" x14ac:dyDescent="0.25">
      <c r="A14" s="24" t="s">
        <v>25</v>
      </c>
      <c r="B14" s="25"/>
      <c r="C14" s="17">
        <f>(C3-E4)/2</f>
        <v>100</v>
      </c>
      <c r="D14" s="20"/>
    </row>
  </sheetData>
  <mergeCells count="22">
    <mergeCell ref="A13:B13"/>
    <mergeCell ref="C13:D13"/>
    <mergeCell ref="A14:B14"/>
    <mergeCell ref="C14:D14"/>
    <mergeCell ref="I11:K11"/>
    <mergeCell ref="A12:B12"/>
    <mergeCell ref="C12:D12"/>
    <mergeCell ref="C11:D11"/>
    <mergeCell ref="I12:K12"/>
    <mergeCell ref="A11:B11"/>
    <mergeCell ref="C7:D7"/>
    <mergeCell ref="C8:D8"/>
    <mergeCell ref="C9:D9"/>
    <mergeCell ref="A7:B7"/>
    <mergeCell ref="A9:B9"/>
    <mergeCell ref="A1:F1"/>
    <mergeCell ref="H1:K1"/>
    <mergeCell ref="H6:K6"/>
    <mergeCell ref="H10:K10"/>
    <mergeCell ref="A6:D6"/>
    <mergeCell ref="A10:B10"/>
    <mergeCell ref="C10:D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Forneron</dc:creator>
  <cp:lastModifiedBy>Mattia  Forneron</cp:lastModifiedBy>
  <dcterms:created xsi:type="dcterms:W3CDTF">2015-06-05T18:19:34Z</dcterms:created>
  <dcterms:modified xsi:type="dcterms:W3CDTF">2025-03-28T11:43:32Z</dcterms:modified>
</cp:coreProperties>
</file>