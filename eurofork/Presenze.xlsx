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A29B499B-7D32-43A9-97E0-363301493D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definedNames>
    <definedName name="_xlnm._FilterDatabase" localSheetId="0" hidden="1">Foglio1!$A$2:$H$115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H99" i="1"/>
  <c r="H98" i="1"/>
  <c r="H97" i="1"/>
  <c r="H96" i="1"/>
  <c r="H94" i="1"/>
  <c r="H93" i="1"/>
  <c r="H92" i="1"/>
  <c r="H91" i="1"/>
  <c r="H88" i="1"/>
  <c r="H87" i="1"/>
  <c r="H86" i="1"/>
  <c r="L7" i="1"/>
  <c r="H85" i="1"/>
  <c r="H84" i="1"/>
  <c r="L6" i="1"/>
  <c r="H78" i="1"/>
  <c r="H75" i="1"/>
  <c r="H74" i="1"/>
  <c r="H73" i="1"/>
  <c r="H70" i="1"/>
  <c r="H69" i="1"/>
  <c r="H68" i="1"/>
  <c r="H67" i="1"/>
  <c r="H64" i="1"/>
  <c r="H63" i="1"/>
  <c r="H62" i="1"/>
  <c r="H61" i="1"/>
  <c r="M7" i="1" l="1"/>
  <c r="N7" i="1" s="1"/>
  <c r="H60" i="1"/>
  <c r="H58" i="1"/>
  <c r="H57" i="1"/>
  <c r="H56" i="1"/>
  <c r="H55" i="1"/>
  <c r="H54" i="1"/>
  <c r="H52" i="1"/>
  <c r="H51" i="1"/>
  <c r="H50" i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L4" i="1" s="1"/>
  <c r="H28" i="1"/>
  <c r="H27" i="1"/>
  <c r="H26" i="1"/>
  <c r="H25" i="1"/>
  <c r="H24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O6" i="1" s="1"/>
  <c r="P6" i="1" s="1"/>
  <c r="M4" i="1" l="1"/>
  <c r="N4" i="1" s="1"/>
  <c r="M6" i="1"/>
  <c r="N6" i="1" s="1"/>
  <c r="L5" i="1"/>
  <c r="M5" i="1" s="1"/>
  <c r="N5" i="1" s="1"/>
  <c r="L3" i="1"/>
  <c r="M3" i="1" s="1"/>
  <c r="N3" i="1" s="1"/>
  <c r="O7" i="1"/>
  <c r="P7" i="1" s="1"/>
  <c r="L2" i="1"/>
  <c r="O3" i="1"/>
  <c r="P3" i="1" s="1"/>
  <c r="O5" i="1"/>
  <c r="P5" i="1" s="1"/>
  <c r="O2" i="1"/>
  <c r="O4" i="1"/>
  <c r="P4" i="1" s="1"/>
  <c r="O8" i="1" l="1"/>
  <c r="P8" i="1" s="1"/>
  <c r="L8" i="1"/>
  <c r="M8" i="1" s="1"/>
  <c r="N8" i="1" s="1"/>
  <c r="M2" i="1"/>
  <c r="N2" i="1" s="1"/>
  <c r="P2" i="1"/>
</calcChain>
</file>

<file path=xl/sharedStrings.xml><?xml version="1.0" encoding="utf-8"?>
<sst xmlns="http://schemas.openxmlformats.org/spreadsheetml/2006/main" count="274" uniqueCount="37">
  <si>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</si>
  <si>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</si>
  <si>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</si>
  <si>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</si>
  <si>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</si>
  <si>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</si>
  <si>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</si>
  <si>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</si>
  <si>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</si>
  <si>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</si>
  <si>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</si>
  <si>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</si>
  <si>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</si>
  <si>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</si>
  <si>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</si>
  <si>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</si>
  <si>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</si>
  <si>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</si>
  <si>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</si>
  <si>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</si>
  <si>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</si>
  <si>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</si>
  <si>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</si>
  <si>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</si>
  <si>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</si>
  <si>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</si>
  <si>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</si>
  <si>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</si>
  <si>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Aprile</t>
  </si>
  <si>
    <t xml:space="preserve"> </t>
  </si>
  <si>
    <t>ITS</t>
  </si>
  <si>
    <t>Festa</t>
  </si>
  <si>
    <t>Maggio</t>
  </si>
  <si>
    <t>Giugno</t>
  </si>
  <si>
    <t>R</t>
  </si>
  <si>
    <t xml:space="preserve"> ITS/ Festa Ore</t>
  </si>
  <si>
    <t xml:space="preserve"> ITS/ Festa Giorni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</si>
</sst>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Berlin Sans FB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DA9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8080"/>
        <bgColor indexed="64"/>
      </patternFill>
    </fill>
    <fill>
      <patternFill patternType="solid">
        <fgColor theme="2" tint="-0.499984740745262"/>
        <bgColor indexed="64"/>
      </patternFill>
    </fill>
  </fills>
  <borders count="5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4" tint="-0.499984740745262"/>
      </left>
      <right/>
      <top style="medium">
        <color theme="1" tint="4.9989318521683403E-2"/>
      </top>
      <bottom/>
      <diagonal/>
    </border>
    <border>
      <left/>
      <right/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 tint="4.9989318521683403E-2"/>
      </right>
      <top/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164" fontId="6" fillId="0" borderId="44" xfId="0" applyNumberFormat="1" applyFont="1" applyBorder="1" applyAlignment="1">
      <alignment horizontal="center"/>
    </xf>
    <xf numFmtId="20" fontId="7" fillId="2" borderId="27" xfId="0" applyNumberFormat="1" applyFont="1" applyFill="1" applyBorder="1" applyAlignment="1">
      <alignment horizontal="center" vertical="center"/>
    </xf>
    <xf numFmtId="165" fontId="7" fillId="2" borderId="23" xfId="0" applyNumberFormat="1" applyFont="1" applyFill="1" applyBorder="1" applyAlignment="1">
      <alignment horizontal="center" vertical="center"/>
    </xf>
    <xf numFmtId="165" fontId="7" fillId="2" borderId="27" xfId="0" applyNumberFormat="1" applyFont="1" applyFill="1" applyBorder="1" applyAlignment="1">
      <alignment horizontal="center" vertical="center"/>
    </xf>
    <xf numFmtId="20" fontId="7" fillId="2" borderId="0" xfId="0" applyNumberFormat="1" applyFont="1" applyFill="1" applyAlignment="1">
      <alignment horizontal="center" vertical="center"/>
    </xf>
    <xf numFmtId="20" fontId="7" fillId="0" borderId="28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8" xfId="0" applyNumberFormat="1" applyFont="1" applyBorder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2" fillId="4" borderId="23" xfId="0" applyNumberFormat="1" applyFont="1" applyFill="1" applyBorder="1" applyAlignment="1">
      <alignment horizontal="center" vertical="center"/>
    </xf>
    <xf numFmtId="20" fontId="2" fillId="4" borderId="27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7" xfId="0" applyNumberFormat="1" applyFont="1" applyFill="1" applyBorder="1" applyAlignment="1">
      <alignment horizontal="center" vertical="center"/>
    </xf>
    <xf numFmtId="20" fontId="2" fillId="4" borderId="0" xfId="0" applyNumberFormat="1" applyFont="1" applyFill="1" applyAlignment="1">
      <alignment horizontal="center" vertical="center"/>
    </xf>
    <xf numFmtId="165" fontId="2" fillId="4" borderId="18" xfId="0" applyNumberFormat="1" applyFont="1" applyFill="1" applyBorder="1" applyAlignment="1">
      <alignment horizontal="center" vertical="center"/>
    </xf>
    <xf numFmtId="14" fontId="2" fillId="4" borderId="24" xfId="0" applyNumberFormat="1" applyFont="1" applyFill="1" applyBorder="1" applyAlignment="1">
      <alignment horizontal="center" vertical="center"/>
    </xf>
    <xf numFmtId="20" fontId="2" fillId="4" borderId="28" xfId="0" applyNumberFormat="1" applyFont="1" applyFill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4" borderId="28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 vertical="center"/>
    </xf>
    <xf numFmtId="20" fontId="2" fillId="4" borderId="29" xfId="0" applyNumberFormat="1" applyFont="1" applyFill="1" applyBorder="1" applyAlignment="1">
      <alignment horizontal="center" vertical="center"/>
    </xf>
    <xf numFmtId="165" fontId="2" fillId="4" borderId="26" xfId="0" applyNumberFormat="1" applyFont="1" applyFill="1" applyBorder="1" applyAlignment="1">
      <alignment horizontal="center" vertical="center"/>
    </xf>
    <xf numFmtId="165" fontId="2" fillId="4" borderId="30" xfId="0" applyNumberFormat="1" applyFont="1" applyFill="1" applyBorder="1" applyAlignment="1">
      <alignment horizontal="center" vertical="center"/>
    </xf>
    <xf numFmtId="20" fontId="2" fillId="4" borderId="13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5" fontId="2" fillId="4" borderId="20" xfId="0" applyNumberFormat="1" applyFont="1" applyFill="1" applyBorder="1" applyAlignment="1">
      <alignment horizontal="center" vertical="center"/>
    </xf>
    <xf numFmtId="14" fontId="2" fillId="4" borderId="38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6" borderId="24" xfId="0" applyNumberFormat="1" applyFont="1" applyFill="1" applyBorder="1" applyAlignment="1">
      <alignment horizontal="center" vertical="center"/>
    </xf>
    <xf numFmtId="20" fontId="2" fillId="6" borderId="28" xfId="0" applyNumberFormat="1" applyFont="1" applyFill="1" applyBorder="1" applyAlignment="1">
      <alignment horizontal="center" vertical="center"/>
    </xf>
    <xf numFmtId="165" fontId="2" fillId="6" borderId="24" xfId="0" applyNumberFormat="1" applyFont="1" applyFill="1" applyBorder="1" applyAlignment="1">
      <alignment horizontal="center" vertical="center"/>
    </xf>
    <xf numFmtId="165" fontId="2" fillId="6" borderId="28" xfId="0" applyNumberFormat="1" applyFont="1" applyFill="1" applyBorder="1" applyAlignment="1">
      <alignment horizontal="center" vertical="center"/>
    </xf>
    <xf numFmtId="20" fontId="2" fillId="6" borderId="0" xfId="0" applyNumberFormat="1" applyFont="1" applyFill="1" applyAlignment="1">
      <alignment horizontal="center" vertical="center"/>
    </xf>
    <xf numFmtId="165" fontId="2" fillId="6" borderId="18" xfId="0" applyNumberFormat="1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14" fontId="2" fillId="6" borderId="38" xfId="0" applyNumberFormat="1" applyFont="1" applyFill="1" applyBorder="1" applyAlignment="1">
      <alignment horizontal="center" vertical="center"/>
    </xf>
    <xf numFmtId="20" fontId="2" fillId="6" borderId="29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20" fontId="2" fillId="6" borderId="13" xfId="0" applyNumberFormat="1" applyFont="1" applyFill="1" applyBorder="1" applyAlignment="1">
      <alignment horizontal="center" vertical="center"/>
    </xf>
    <xf numFmtId="165" fontId="2" fillId="6" borderId="19" xfId="0" applyNumberFormat="1" applyFont="1" applyFill="1" applyBorder="1" applyAlignment="1">
      <alignment horizontal="center" vertical="center"/>
    </xf>
    <xf numFmtId="14" fontId="2" fillId="6" borderId="23" xfId="0" applyNumberFormat="1" applyFont="1" applyFill="1" applyBorder="1" applyAlignment="1">
      <alignment horizontal="center" vertical="center"/>
    </xf>
    <xf numFmtId="20" fontId="2" fillId="6" borderId="27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7" xfId="0" applyNumberFormat="1" applyFont="1" applyFill="1" applyBorder="1" applyAlignment="1">
      <alignment horizontal="center" vertical="center"/>
    </xf>
    <xf numFmtId="165" fontId="2" fillId="6" borderId="20" xfId="0" applyNumberFormat="1" applyFont="1" applyFill="1" applyBorder="1" applyAlignment="1">
      <alignment horizontal="center" vertical="center"/>
    </xf>
    <xf numFmtId="20" fontId="7" fillId="6" borderId="28" xfId="0" applyNumberFormat="1" applyFont="1" applyFill="1" applyBorder="1" applyAlignment="1">
      <alignment horizontal="center" vertical="center"/>
    </xf>
    <xf numFmtId="20" fontId="7" fillId="6" borderId="29" xfId="0" applyNumberFormat="1" applyFont="1" applyFill="1" applyBorder="1" applyAlignment="1">
      <alignment horizontal="center" vertical="center"/>
    </xf>
    <xf numFmtId="165" fontId="7" fillId="6" borderId="26" xfId="0" applyNumberFormat="1" applyFont="1" applyFill="1" applyBorder="1" applyAlignment="1">
      <alignment horizontal="center" vertical="center"/>
    </xf>
    <xf numFmtId="165" fontId="7" fillId="6" borderId="30" xfId="0" applyNumberFormat="1" applyFont="1" applyFill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8" borderId="23" xfId="0" applyNumberFormat="1" applyFont="1" applyFill="1" applyBorder="1" applyAlignment="1">
      <alignment horizontal="center" vertical="center"/>
    </xf>
    <xf numFmtId="20" fontId="2" fillId="8" borderId="28" xfId="0" applyNumberFormat="1" applyFont="1" applyFill="1" applyBorder="1" applyAlignment="1">
      <alignment horizontal="center" vertical="center"/>
    </xf>
    <xf numFmtId="165" fontId="2" fillId="8" borderId="20" xfId="0" applyNumberFormat="1" applyFont="1" applyFill="1" applyBorder="1" applyAlignment="1">
      <alignment horizontal="center" vertical="center"/>
    </xf>
    <xf numFmtId="14" fontId="2" fillId="8" borderId="24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8" xfId="0" applyNumberFormat="1" applyFont="1" applyFill="1" applyBorder="1" applyAlignment="1">
      <alignment horizontal="center" vertical="center"/>
    </xf>
    <xf numFmtId="20" fontId="2" fillId="8" borderId="0" xfId="0" applyNumberFormat="1" applyFont="1" applyFill="1" applyAlignment="1">
      <alignment horizontal="center" vertical="center"/>
    </xf>
    <xf numFmtId="165" fontId="2" fillId="8" borderId="18" xfId="0" applyNumberFormat="1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165" fontId="7" fillId="2" borderId="18" xfId="0" applyNumberFormat="1" applyFont="1" applyFill="1" applyBorder="1" applyAlignment="1">
      <alignment horizontal="center" vertical="center"/>
    </xf>
    <xf numFmtId="165" fontId="7" fillId="2" borderId="20" xfId="0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4" borderId="18" xfId="0" applyNumberFormat="1" applyFont="1" applyFill="1" applyBorder="1" applyAlignment="1">
      <alignment horizontal="center" vertical="center"/>
    </xf>
    <xf numFmtId="165" fontId="7" fillId="4" borderId="19" xfId="0" applyNumberFormat="1" applyFont="1" applyFill="1" applyBorder="1" applyAlignment="1">
      <alignment horizontal="center" vertical="center"/>
    </xf>
    <xf numFmtId="165" fontId="7" fillId="6" borderId="20" xfId="0" applyNumberFormat="1" applyFont="1" applyFill="1" applyBorder="1" applyAlignment="1">
      <alignment horizontal="center" vertical="center"/>
    </xf>
    <xf numFmtId="165" fontId="7" fillId="6" borderId="19" xfId="0" applyNumberFormat="1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20" fontId="2" fillId="0" borderId="48" xfId="0" applyNumberFormat="1" applyFont="1" applyBorder="1" applyAlignment="1">
      <alignment horizontal="center" vertical="center"/>
    </xf>
    <xf numFmtId="165" fontId="2" fillId="0" borderId="38" xfId="0" applyNumberFormat="1" applyFont="1" applyBorder="1" applyAlignment="1">
      <alignment horizontal="center" vertical="center"/>
    </xf>
    <xf numFmtId="165" fontId="2" fillId="0" borderId="48" xfId="0" applyNumberFormat="1" applyFont="1" applyBorder="1" applyAlignment="1">
      <alignment horizontal="center" vertical="center"/>
    </xf>
    <xf numFmtId="20" fontId="2" fillId="0" borderId="47" xfId="0" applyNumberFormat="1" applyFont="1" applyBorder="1" applyAlignment="1">
      <alignment horizontal="center" vertical="center"/>
    </xf>
    <xf numFmtId="165" fontId="2" fillId="0" borderId="49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4" fontId="2" fillId="11" borderId="23" xfId="0" applyNumberFormat="1" applyFont="1" applyFill="1" applyBorder="1" applyAlignment="1">
      <alignment horizontal="center" vertical="center"/>
    </xf>
    <xf numFmtId="20" fontId="2" fillId="11" borderId="2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4" fontId="2" fillId="11" borderId="24" xfId="0" applyNumberFormat="1" applyFont="1" applyFill="1" applyBorder="1" applyAlignment="1">
      <alignment horizontal="center" vertical="center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8" xfId="0" applyNumberFormat="1" applyFont="1" applyFill="1" applyBorder="1" applyAlignment="1">
      <alignment horizontal="center" vertical="center"/>
    </xf>
    <xf numFmtId="20" fontId="2" fillId="11" borderId="0" xfId="0" applyNumberFormat="1" applyFont="1" applyFill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0" borderId="45" xfId="0" applyNumberFormat="1" applyBorder="1" applyAlignment="1">
      <alignment horizontal="center"/>
    </xf>
    <xf numFmtId="0" fontId="3" fillId="12" borderId="42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 wrapText="1"/>
    </xf>
    <xf numFmtId="0" fontId="3" fillId="12" borderId="44" xfId="0" applyFont="1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2" fontId="0" fillId="4" borderId="40" xfId="0" applyNumberFormat="1" applyFill="1" applyBorder="1" applyAlignment="1">
      <alignment horizontal="center" vertical="center"/>
    </xf>
    <xf numFmtId="164" fontId="0" fillId="4" borderId="41" xfId="0" applyNumberFormat="1" applyFill="1" applyBorder="1" applyAlignment="1">
      <alignment horizontal="center"/>
    </xf>
    <xf numFmtId="20" fontId="0" fillId="6" borderId="35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20" fontId="0" fillId="6" borderId="31" xfId="0" applyNumberFormat="1" applyFill="1" applyBorder="1" applyAlignment="1">
      <alignment horizontal="center" vertical="center"/>
    </xf>
    <xf numFmtId="164" fontId="0" fillId="6" borderId="36" xfId="0" applyNumberFormat="1" applyFill="1" applyBorder="1" applyAlignment="1">
      <alignment horizontal="center" vertical="center"/>
    </xf>
    <xf numFmtId="20" fontId="0" fillId="8" borderId="35" xfId="0" applyNumberFormat="1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20" fontId="0" fillId="8" borderId="31" xfId="0" applyNumberFormat="1" applyFill="1" applyBorder="1" applyAlignment="1">
      <alignment horizontal="center" vertical="center"/>
    </xf>
    <xf numFmtId="164" fontId="0" fillId="8" borderId="36" xfId="0" applyNumberFormat="1" applyFill="1" applyBorder="1" applyAlignment="1">
      <alignment horizontal="center" vertical="center"/>
    </xf>
    <xf numFmtId="20" fontId="0" fillId="11" borderId="35" xfId="0" applyNumberFormat="1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20" fontId="0" fillId="11" borderId="31" xfId="0" applyNumberFormat="1" applyFill="1" applyBorder="1" applyAlignment="1">
      <alignment horizontal="center" vertical="center"/>
    </xf>
    <xf numFmtId="164" fontId="0" fillId="11" borderId="36" xfId="0" applyNumberFormat="1" applyFill="1" applyBorder="1" applyAlignment="1">
      <alignment horizontal="center" vertical="center"/>
    </xf>
    <xf numFmtId="20" fontId="7" fillId="8" borderId="28" xfId="0" applyNumberFormat="1" applyFont="1" applyFill="1" applyBorder="1" applyAlignment="1">
      <alignment horizontal="center" vertical="center"/>
    </xf>
    <xf numFmtId="165" fontId="7" fillId="8" borderId="24" xfId="0" applyNumberFormat="1" applyFont="1" applyFill="1" applyBorder="1" applyAlignment="1">
      <alignment horizontal="center" vertical="center"/>
    </xf>
    <xf numFmtId="165" fontId="7" fillId="8" borderId="28" xfId="0" applyNumberFormat="1" applyFont="1" applyFill="1" applyBorder="1" applyAlignment="1">
      <alignment horizontal="center" vertical="center"/>
    </xf>
    <xf numFmtId="20" fontId="7" fillId="8" borderId="0" xfId="0" applyNumberFormat="1" applyFont="1" applyFill="1" applyAlignment="1">
      <alignment horizontal="center" vertical="center"/>
    </xf>
    <xf numFmtId="165" fontId="7" fillId="8" borderId="18" xfId="0" applyNumberFormat="1" applyFont="1" applyFill="1" applyBorder="1" applyAlignment="1">
      <alignment horizontal="center" vertical="center"/>
    </xf>
    <xf numFmtId="20" fontId="0" fillId="0" borderId="0" xfId="0" applyNumberFormat="1"/>
    <xf numFmtId="0" fontId="6" fillId="0" borderId="0" xfId="0" applyFont="1" applyAlignment="1">
      <alignment horizontal="center" vertical="center"/>
    </xf>
    <xf numFmtId="20" fontId="7" fillId="8" borderId="29" xfId="0" applyNumberFormat="1" applyFont="1" applyFill="1" applyBorder="1" applyAlignment="1">
      <alignment horizontal="center" vertical="center"/>
    </xf>
    <xf numFmtId="165" fontId="7" fillId="8" borderId="26" xfId="0" applyNumberFormat="1" applyFont="1" applyFill="1" applyBorder="1" applyAlignment="1">
      <alignment horizontal="center" vertical="center"/>
    </xf>
    <xf numFmtId="165" fontId="7" fillId="8" borderId="30" xfId="0" applyNumberFormat="1" applyFont="1" applyFill="1" applyBorder="1" applyAlignment="1">
      <alignment horizontal="center" vertical="center"/>
    </xf>
    <xf numFmtId="20" fontId="7" fillId="8" borderId="13" xfId="0" applyNumberFormat="1" applyFont="1" applyFill="1" applyBorder="1" applyAlignment="1">
      <alignment horizontal="center" vertical="center"/>
    </xf>
    <xf numFmtId="165" fontId="7" fillId="8" borderId="19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4" fontId="7" fillId="2" borderId="23" xfId="0" applyNumberFormat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24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7" fillId="6" borderId="23" xfId="0" applyNumberFormat="1" applyFont="1" applyFill="1" applyBorder="1" applyAlignment="1">
      <alignment horizontal="center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14" fontId="7" fillId="6" borderId="26" xfId="0" applyNumberFormat="1" applyFont="1" applyFill="1" applyBorder="1" applyAlignment="1">
      <alignment horizontal="center" vertical="center"/>
    </xf>
    <xf numFmtId="0" fontId="7" fillId="8" borderId="3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14" fontId="7" fillId="8" borderId="26" xfId="0" applyNumberFormat="1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4" fontId="7" fillId="8" borderId="23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DA9FFF"/>
      <color rgb="FFF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FD115"/>
  <sheetViews>
    <sheetView tabSelected="1" zoomScale="85" zoomScaleNormal="85" workbookViewId="0">
      <pane xSplit="14" ySplit="9" topLeftCell="O87" activePane="bottomRight" state="frozen"/>
      <selection pane="topRight" activeCell="O1" sqref="O1"/>
      <selection pane="bottomLeft" activeCell="A10" sqref="A10"/>
      <selection pane="bottomRight" activeCell="J106" sqref="J106"/>
    </sheetView>
  </sheetViews>
  <sheetFormatPr defaultRowHeight="15" x14ac:dyDescent="0.25"/>
  <cols>
    <col min="1" max="2" width="11.7109375" customWidth="1"/>
    <col min="3" max="3" width="12.42578125" bestFit="1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thickBot="1" x14ac:dyDescent="0.3">
      <c r="A1" s="220" t="s">
        <v>0</v>
      </c>
      <c r="B1" s="221"/>
      <c r="C1" s="221"/>
      <c r="D1" s="221"/>
      <c r="E1" s="221"/>
      <c r="F1" s="221"/>
      <c r="G1" s="221"/>
      <c r="H1" s="222"/>
      <c r="K1" s="157" t="s">
        <v>8</v>
      </c>
      <c r="L1" s="158" t="s">
        <v>23</v>
      </c>
      <c r="M1" s="158" t="s">
        <v>27</v>
      </c>
      <c r="N1" s="159" t="s">
        <v>25</v>
      </c>
      <c r="O1" s="159" t="s">
        <v>36</v>
      </c>
      <c r="P1" s="160" t="s">
        <v>35</v>
      </c>
    </row>
    <row r="2" spans="1:16" ht="18" x14ac:dyDescent="0.25">
      <c r="A2" s="225" t="s">
        <v>8</v>
      </c>
      <c r="B2" s="225" t="s">
        <v>3</v>
      </c>
      <c r="C2" s="225" t="s">
        <v>9</v>
      </c>
      <c r="D2" s="223" t="s">
        <v>5</v>
      </c>
      <c r="E2" s="224"/>
      <c r="F2" s="223" t="s">
        <v>4</v>
      </c>
      <c r="G2" s="224"/>
      <c r="H2" s="227" t="s">
        <v>14</v>
      </c>
      <c r="K2" s="51" t="s">
        <v>6</v>
      </c>
      <c r="L2" s="55">
        <f t="shared" ref="L2:L7" si="0">SUMIF(A:A, K2, H:H)*24</f>
        <v>7.9999999998835847</v>
      </c>
      <c r="M2" s="52">
        <f t="shared" ref="M2:M7" si="1">L2/8</f>
        <v>0.99999999998544808</v>
      </c>
      <c r="N2" s="56" t="str">
        <f>IF(M2=INT(M2), 0, TEXT((CEILING(M2, 1) -M2)*8/24, "hh:mm"))</f>
        <v>00:00</v>
      </c>
      <c r="O2" s="52">
        <f>COUNTIFS(H:H, TIME(0,0,0), A:A, K2)</f>
        <v>0</v>
      </c>
      <c r="P2" s="156">
        <f>(O2*8/24)</f>
        <v>0</v>
      </c>
    </row>
    <row r="3" spans="1:16" ht="18.75" thickBot="1" x14ac:dyDescent="0.3">
      <c r="A3" s="226"/>
      <c r="B3" s="226"/>
      <c r="C3" s="226"/>
      <c r="D3" s="11" t="s">
        <v>1</v>
      </c>
      <c r="E3" s="11" t="s">
        <v>2</v>
      </c>
      <c r="F3" s="11" t="s">
        <v>1</v>
      </c>
      <c r="G3" s="11" t="s">
        <v>2</v>
      </c>
      <c r="H3" s="228"/>
      <c r="K3" s="53" t="s">
        <v>7</v>
      </c>
      <c r="L3" s="49">
        <f t="shared" si="0"/>
        <v>150.99999999999991</v>
      </c>
      <c r="M3" s="49">
        <f t="shared" si="1"/>
        <v>18.874999999999989</v>
      </c>
      <c r="N3" s="54" t="str">
        <f t="shared" ref="N3:N8" si="2">IF(M3=INT(M3), 0, TEXT((CEILING(M3, 1)-M3)*8/24, "hh:mm"))</f>
        <v>01:00</v>
      </c>
      <c r="O3" s="49">
        <f t="shared" ref="O3:O5" si="3">COUNTIFS(H:H, TIME(0,0,0), A:A, K3)</f>
        <v>1</v>
      </c>
      <c r="P3" s="155">
        <f>(O3*8/24)</f>
        <v>0.33333333333333331</v>
      </c>
    </row>
    <row r="4" spans="1:16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161" t="s">
        <v>26</v>
      </c>
      <c r="L4" s="162">
        <f t="shared" si="0"/>
        <v>154.99999999999994</v>
      </c>
      <c r="M4" s="162">
        <f t="shared" si="1"/>
        <v>19.374999999999993</v>
      </c>
      <c r="N4" s="163" t="str">
        <f t="shared" si="2"/>
        <v>05:00</v>
      </c>
      <c r="O4" s="162">
        <f t="shared" si="3"/>
        <v>1</v>
      </c>
      <c r="P4" s="164">
        <f>O4*8/24</f>
        <v>0.33333333333333331</v>
      </c>
    </row>
    <row r="5" spans="1:16" ht="18.75" thickBot="1" x14ac:dyDescent="0.3">
      <c r="A5" s="213" t="s">
        <v>21</v>
      </c>
      <c r="B5" s="214"/>
      <c r="C5" s="214"/>
      <c r="D5" s="214"/>
      <c r="E5" s="214"/>
      <c r="F5" s="214"/>
      <c r="G5" s="214"/>
      <c r="H5" s="215"/>
      <c r="K5" s="165" t="s">
        <v>28</v>
      </c>
      <c r="L5" s="166">
        <f t="shared" si="0"/>
        <v>151.99999999999991</v>
      </c>
      <c r="M5" s="166">
        <f t="shared" si="1"/>
        <v>18.999999999999989</v>
      </c>
      <c r="N5" s="167">
        <f t="shared" si="2"/>
        <v>0</v>
      </c>
      <c r="O5" s="166">
        <f t="shared" si="3"/>
        <v>3</v>
      </c>
      <c r="P5" s="168">
        <f>(O5*8/24)</f>
        <v>1</v>
      </c>
    </row>
    <row r="6" spans="1:16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4">((E6-D6) + (G6-F6))</f>
        <v>0.33333333333333326</v>
      </c>
      <c r="K6" s="169" t="s">
        <v>32</v>
      </c>
      <c r="L6" s="170">
        <f t="shared" si="0"/>
        <v>143.99999999999994</v>
      </c>
      <c r="M6" s="170">
        <f t="shared" si="1"/>
        <v>17.999999999999993</v>
      </c>
      <c r="N6" s="171">
        <f t="shared" si="2"/>
        <v>0</v>
      </c>
      <c r="O6" s="170">
        <f>COUNTIFS(H:H, TIME(0,0,0), A:A, K6)</f>
        <v>4</v>
      </c>
      <c r="P6" s="172">
        <f>(O6*8/24)</f>
        <v>1.3333333333333333</v>
      </c>
    </row>
    <row r="7" spans="1:16" ht="15.75" thickBot="1" x14ac:dyDescent="0.3">
      <c r="A7" s="13" t="s">
        <v>7</v>
      </c>
      <c r="B7" s="1" t="s">
        <v>12</v>
      </c>
      <c r="C7" s="35">
        <v>45692</v>
      </c>
      <c r="D7" s="41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4"/>
        <v>0.33333333333333331</v>
      </c>
      <c r="K7" s="173" t="s">
        <v>33</v>
      </c>
      <c r="L7" s="174">
        <f t="shared" si="0"/>
        <v>0</v>
      </c>
      <c r="M7" s="174">
        <f t="shared" si="1"/>
        <v>0</v>
      </c>
      <c r="N7" s="175">
        <f t="shared" si="2"/>
        <v>0</v>
      </c>
      <c r="O7" s="174">
        <f>COUNTIFS(H:H, TIME(0,0,0), A:A, K7)</f>
        <v>1</v>
      </c>
      <c r="P7" s="176">
        <f>(O7*8/24)</f>
        <v>0.33333333333333331</v>
      </c>
    </row>
    <row r="8" spans="1:16" ht="16.5" customHeight="1" thickBot="1" x14ac:dyDescent="0.3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4"/>
        <v>0.3333333333333332</v>
      </c>
      <c r="K8" s="57" t="s">
        <v>24</v>
      </c>
      <c r="L8" s="58">
        <f>SUM(L2:L7)</f>
        <v>609.99999999988336</v>
      </c>
      <c r="M8" s="58">
        <f>(L8)/8</f>
        <v>76.24999999998542</v>
      </c>
      <c r="N8" s="59" t="str">
        <f t="shared" si="2"/>
        <v>06:00</v>
      </c>
      <c r="O8" s="58">
        <f>SUM(O2:O7)</f>
        <v>10</v>
      </c>
      <c r="P8" s="60">
        <f>(O8*8/24)</f>
        <v>3.3333333333333335</v>
      </c>
    </row>
    <row r="9" spans="1:16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4"/>
        <v>0.33333333333333326</v>
      </c>
    </row>
    <row r="10" spans="1:16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4"/>
        <v>0.33333333333333326</v>
      </c>
    </row>
    <row r="11" spans="1:16" ht="18.75" thickBot="1" x14ac:dyDescent="0.3">
      <c r="A11" s="213" t="s">
        <v>21</v>
      </c>
      <c r="B11" s="214"/>
      <c r="C11" s="214"/>
      <c r="D11" s="214"/>
      <c r="E11" s="214"/>
      <c r="F11" s="214"/>
      <c r="G11" s="214"/>
      <c r="H11" s="216"/>
    </row>
    <row r="12" spans="1:16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213" t="s">
        <v>21</v>
      </c>
      <c r="B17" s="214"/>
      <c r="C17" s="214"/>
      <c r="D17" s="214"/>
      <c r="E17" s="214"/>
      <c r="F17" s="214"/>
      <c r="G17" s="214"/>
      <c r="H17" s="216"/>
    </row>
    <row r="18" spans="1:16384" x14ac:dyDescent="0.25">
      <c r="A18" s="189" t="s">
        <v>7</v>
      </c>
      <c r="B18" s="190" t="s">
        <v>16</v>
      </c>
      <c r="C18" s="191">
        <v>45705</v>
      </c>
      <c r="D18" s="61" t="s">
        <v>31</v>
      </c>
      <c r="E18" s="62" t="s">
        <v>31</v>
      </c>
      <c r="F18" s="63" t="s">
        <v>31</v>
      </c>
      <c r="G18" s="64" t="s">
        <v>31</v>
      </c>
      <c r="H18" s="130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213" t="s">
        <v>21</v>
      </c>
      <c r="B23" s="214"/>
      <c r="C23" s="214"/>
      <c r="D23" s="214"/>
      <c r="E23" s="214"/>
      <c r="F23" s="214"/>
      <c r="G23" s="214"/>
      <c r="H23" s="216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2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3"/>
      <c r="N28" s="3"/>
      <c r="O28" s="3"/>
      <c r="P28" s="15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217" t="s">
        <v>21</v>
      </c>
      <c r="B29" s="218"/>
      <c r="C29" s="218"/>
      <c r="D29" s="218"/>
      <c r="E29" s="218"/>
      <c r="F29" s="218"/>
      <c r="G29" s="218"/>
      <c r="H29" s="219"/>
      <c r="I29" s="6"/>
      <c r="K29" s="2"/>
      <c r="L29" s="9"/>
      <c r="M29" s="9"/>
      <c r="N29" s="3"/>
      <c r="O29" s="3"/>
      <c r="P29" s="10"/>
    </row>
    <row r="30" spans="1:16384" x14ac:dyDescent="0.25">
      <c r="A30" s="69" t="s">
        <v>26</v>
      </c>
      <c r="B30" s="70" t="s">
        <v>16</v>
      </c>
      <c r="C30" s="71">
        <v>45719</v>
      </c>
      <c r="D30" s="72">
        <v>0.375</v>
      </c>
      <c r="E30" s="73">
        <v>0.54166666666666663</v>
      </c>
      <c r="F30" s="74">
        <v>0.5625</v>
      </c>
      <c r="G30" s="75">
        <v>0.72916666666666663</v>
      </c>
      <c r="H30" s="76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69" t="s">
        <v>26</v>
      </c>
      <c r="B32" s="70" t="s">
        <v>18</v>
      </c>
      <c r="C32" s="77">
        <v>45721</v>
      </c>
      <c r="D32" s="78">
        <v>0.37152777777777779</v>
      </c>
      <c r="E32" s="79">
        <v>0.54166666666666663</v>
      </c>
      <c r="F32" s="80">
        <v>0.56944444444444442</v>
      </c>
      <c r="G32" s="75">
        <v>0.73263888888888884</v>
      </c>
      <c r="H32" s="76">
        <f>((E32-D32)+(G32-F32))</f>
        <v>0.33333333333333326</v>
      </c>
    </row>
    <row r="33" spans="1:8" x14ac:dyDescent="0.25">
      <c r="A33" s="192" t="s">
        <v>26</v>
      </c>
      <c r="B33" s="193" t="s">
        <v>19</v>
      </c>
      <c r="C33" s="194">
        <v>45722</v>
      </c>
      <c r="D33" s="65" t="s">
        <v>30</v>
      </c>
      <c r="E33" s="66" t="s">
        <v>30</v>
      </c>
      <c r="F33" s="67" t="s">
        <v>22</v>
      </c>
      <c r="G33" s="68" t="s">
        <v>22</v>
      </c>
      <c r="H33" s="131">
        <v>0</v>
      </c>
    </row>
    <row r="34" spans="1:8" ht="15.75" thickBot="1" x14ac:dyDescent="0.3">
      <c r="A34" s="81" t="s">
        <v>26</v>
      </c>
      <c r="B34" s="82" t="s">
        <v>20</v>
      </c>
      <c r="C34" s="83">
        <v>45723</v>
      </c>
      <c r="D34" s="84">
        <v>0.375</v>
      </c>
      <c r="E34" s="85">
        <v>0.54166666666666663</v>
      </c>
      <c r="F34" s="86">
        <v>0.58333333333333337</v>
      </c>
      <c r="G34" s="87">
        <v>0.75</v>
      </c>
      <c r="H34" s="88">
        <f>((E34-D34)+(G34-F34))</f>
        <v>0.33333333333333326</v>
      </c>
    </row>
    <row r="35" spans="1:8" ht="18.75" thickBot="1" x14ac:dyDescent="0.3">
      <c r="A35" s="217" t="s">
        <v>21</v>
      </c>
      <c r="B35" s="218"/>
      <c r="C35" s="218"/>
      <c r="D35" s="218"/>
      <c r="E35" s="218"/>
      <c r="F35" s="218"/>
      <c r="G35" s="218"/>
      <c r="H35" s="219"/>
    </row>
    <row r="36" spans="1:8" x14ac:dyDescent="0.25">
      <c r="A36" s="69" t="s">
        <v>26</v>
      </c>
      <c r="B36" s="70" t="s">
        <v>16</v>
      </c>
      <c r="C36" s="71">
        <v>45726</v>
      </c>
      <c r="D36" s="72">
        <v>0.375</v>
      </c>
      <c r="E36" s="73">
        <v>0.54166666666666663</v>
      </c>
      <c r="F36" s="74">
        <v>0.58333333333333337</v>
      </c>
      <c r="G36" s="75">
        <v>0.75</v>
      </c>
      <c r="H36" s="89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69" t="s">
        <v>26</v>
      </c>
      <c r="B38" s="70" t="s">
        <v>18</v>
      </c>
      <c r="C38" s="77">
        <v>45728</v>
      </c>
      <c r="D38" s="78">
        <v>0.37916666666666665</v>
      </c>
      <c r="E38" s="79">
        <v>0.54166666666666663</v>
      </c>
      <c r="F38" s="80">
        <v>0.58333333333333337</v>
      </c>
      <c r="G38" s="75">
        <v>0.69166666666666665</v>
      </c>
      <c r="H38" s="132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131">
        <f>((E39-D39)+(G39-F39))</f>
        <v>0.31249999999999994</v>
      </c>
    </row>
    <row r="40" spans="1:8" ht="15.75" thickBot="1" x14ac:dyDescent="0.3">
      <c r="A40" s="81" t="s">
        <v>26</v>
      </c>
      <c r="B40" s="82" t="s">
        <v>20</v>
      </c>
      <c r="C40" s="90">
        <v>45730</v>
      </c>
      <c r="D40" s="84">
        <v>0.37986111111111109</v>
      </c>
      <c r="E40" s="85">
        <v>0.54166666666666663</v>
      </c>
      <c r="F40" s="86">
        <v>0.58333333333333337</v>
      </c>
      <c r="G40" s="87">
        <v>0.75486111111111109</v>
      </c>
      <c r="H40" s="88">
        <f>((E40-D40)+(G40-F40))</f>
        <v>0.33333333333333326</v>
      </c>
    </row>
    <row r="41" spans="1:8" ht="18.75" thickBot="1" x14ac:dyDescent="0.3">
      <c r="A41" s="217" t="s">
        <v>21</v>
      </c>
      <c r="B41" s="218"/>
      <c r="C41" s="218"/>
      <c r="D41" s="218"/>
      <c r="E41" s="218"/>
      <c r="F41" s="218"/>
      <c r="G41" s="218"/>
      <c r="H41" s="219"/>
    </row>
    <row r="42" spans="1:8" x14ac:dyDescent="0.25">
      <c r="A42" s="69" t="s">
        <v>26</v>
      </c>
      <c r="B42" s="70" t="s">
        <v>16</v>
      </c>
      <c r="C42" s="71">
        <v>45733</v>
      </c>
      <c r="D42" s="72">
        <v>0.37708333333333333</v>
      </c>
      <c r="E42" s="73">
        <v>0.54166666666666663</v>
      </c>
      <c r="F42" s="74">
        <v>0.58333333333333337</v>
      </c>
      <c r="G42" s="75">
        <v>0.75208333333333333</v>
      </c>
      <c r="H42" s="89">
        <f>((E42-D42)+(G42-F42))</f>
        <v>0.33333333333333326</v>
      </c>
    </row>
    <row r="43" spans="1:8" x14ac:dyDescent="0.25">
      <c r="A43" s="7" t="s">
        <v>26</v>
      </c>
      <c r="B43" s="1" t="s">
        <v>17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131">
        <f>((E43-D43)+(G43-F43))</f>
        <v>0.29166666666666663</v>
      </c>
    </row>
    <row r="44" spans="1:8" x14ac:dyDescent="0.25">
      <c r="A44" s="69" t="s">
        <v>26</v>
      </c>
      <c r="B44" s="70" t="s">
        <v>18</v>
      </c>
      <c r="C44" s="77">
        <v>45735</v>
      </c>
      <c r="D44" s="78">
        <v>0.37708333333333333</v>
      </c>
      <c r="E44" s="79">
        <v>0.54166666666666663</v>
      </c>
      <c r="F44" s="80">
        <v>0.58333333333333337</v>
      </c>
      <c r="G44" s="75">
        <v>0.75208333333333333</v>
      </c>
      <c r="H44" s="76">
        <f>((E44-D44)+(G44-F44))</f>
        <v>0.33333333333333326</v>
      </c>
    </row>
    <row r="45" spans="1:8" x14ac:dyDescent="0.25">
      <c r="A45" s="7" t="s">
        <v>26</v>
      </c>
      <c r="B45" s="1" t="s">
        <v>19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81" t="s">
        <v>26</v>
      </c>
      <c r="B46" s="82" t="s">
        <v>20</v>
      </c>
      <c r="C46" s="90">
        <v>45737</v>
      </c>
      <c r="D46" s="84">
        <v>0.38124999999999998</v>
      </c>
      <c r="E46" s="85">
        <v>0.54166666666666663</v>
      </c>
      <c r="F46" s="86">
        <v>0.58333333333333337</v>
      </c>
      <c r="G46" s="87">
        <v>0.67291666666666672</v>
      </c>
      <c r="H46" s="133">
        <f>((E46-D46)+(G46-F46))</f>
        <v>0.25</v>
      </c>
    </row>
    <row r="47" spans="1:8" ht="18.75" thickBot="1" x14ac:dyDescent="0.3">
      <c r="A47" s="217" t="s">
        <v>21</v>
      </c>
      <c r="B47" s="218"/>
      <c r="C47" s="218"/>
      <c r="D47" s="218"/>
      <c r="E47" s="218"/>
      <c r="F47" s="218"/>
      <c r="G47" s="218"/>
      <c r="H47" s="219"/>
    </row>
    <row r="48" spans="1:8" x14ac:dyDescent="0.25">
      <c r="A48" s="69" t="s">
        <v>26</v>
      </c>
      <c r="B48" s="70" t="s">
        <v>16</v>
      </c>
      <c r="C48" s="71">
        <v>45740</v>
      </c>
      <c r="D48" s="72">
        <v>0.37430555555555556</v>
      </c>
      <c r="E48" s="73">
        <v>0.54166666666666663</v>
      </c>
      <c r="F48" s="74">
        <v>0.58333333333333337</v>
      </c>
      <c r="G48" s="75">
        <v>0.74930555555555556</v>
      </c>
      <c r="H48" s="89">
        <f>((E48-D48)+(G48-F48))</f>
        <v>0.33333333333333326</v>
      </c>
    </row>
    <row r="49" spans="1:13" x14ac:dyDescent="0.25">
      <c r="A49" s="7" t="s">
        <v>26</v>
      </c>
      <c r="B49" s="1" t="s">
        <v>17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69" t="s">
        <v>26</v>
      </c>
      <c r="B50" s="70" t="s">
        <v>18</v>
      </c>
      <c r="C50" s="77">
        <v>45742</v>
      </c>
      <c r="D50" s="78">
        <v>0.35486111111111113</v>
      </c>
      <c r="E50" s="79">
        <v>0.54166666666666663</v>
      </c>
      <c r="F50" s="80">
        <v>0.58333333333333337</v>
      </c>
      <c r="G50" s="75">
        <v>0.72986111111111107</v>
      </c>
      <c r="H50" s="76">
        <f>((E50-D50)+(G50-F50))</f>
        <v>0.3333333333333332</v>
      </c>
    </row>
    <row r="51" spans="1:13" x14ac:dyDescent="0.25">
      <c r="A51" s="7" t="s">
        <v>26</v>
      </c>
      <c r="B51" s="1" t="s">
        <v>19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81" t="s">
        <v>26</v>
      </c>
      <c r="B52" s="82" t="s">
        <v>20</v>
      </c>
      <c r="C52" s="90">
        <v>45744</v>
      </c>
      <c r="D52" s="84">
        <v>0.35625000000000001</v>
      </c>
      <c r="E52" s="85">
        <v>0.54166666666666663</v>
      </c>
      <c r="F52" s="86">
        <v>0.58333333333333337</v>
      </c>
      <c r="G52" s="87">
        <v>0.73124999999999996</v>
      </c>
      <c r="H52" s="88">
        <f>((E52-D52)+(G52-F52))</f>
        <v>0.3333333333333332</v>
      </c>
    </row>
    <row r="53" spans="1:13" ht="18.75" thickBot="1" x14ac:dyDescent="0.3">
      <c r="A53" s="217" t="s">
        <v>21</v>
      </c>
      <c r="B53" s="218"/>
      <c r="C53" s="218"/>
      <c r="D53" s="218"/>
      <c r="E53" s="218"/>
      <c r="F53" s="218"/>
      <c r="G53" s="218"/>
      <c r="H53" s="219"/>
    </row>
    <row r="54" spans="1:13" x14ac:dyDescent="0.25">
      <c r="A54" s="69" t="s">
        <v>26</v>
      </c>
      <c r="B54" s="70" t="s">
        <v>16</v>
      </c>
      <c r="C54" s="71">
        <v>45747</v>
      </c>
      <c r="D54" s="72">
        <v>0.37222222222222223</v>
      </c>
      <c r="E54" s="73">
        <v>0.54166666666666663</v>
      </c>
      <c r="F54" s="74">
        <v>0.58333333333333337</v>
      </c>
      <c r="G54" s="75">
        <v>0.74722222222222223</v>
      </c>
      <c r="H54" s="89">
        <f>((E54-D54)+(G54-F54))</f>
        <v>0.33333333333333326</v>
      </c>
    </row>
    <row r="55" spans="1:13" x14ac:dyDescent="0.25">
      <c r="A55" s="7" t="s">
        <v>28</v>
      </c>
      <c r="B55" s="1" t="s">
        <v>17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91" t="s">
        <v>28</v>
      </c>
      <c r="B56" s="92" t="s">
        <v>18</v>
      </c>
      <c r="C56" s="93">
        <v>45749</v>
      </c>
      <c r="D56" s="94">
        <v>0.37430555555555556</v>
      </c>
      <c r="E56" s="95">
        <v>0.54166666666666663</v>
      </c>
      <c r="F56" s="96">
        <v>0.58333333333333337</v>
      </c>
      <c r="G56" s="97">
        <v>0.74930555555555556</v>
      </c>
      <c r="H56" s="98">
        <f>((E56-D56)+(G56-F56))</f>
        <v>0.33333333333333326</v>
      </c>
      <c r="M56" t="s">
        <v>29</v>
      </c>
    </row>
    <row r="57" spans="1:13" x14ac:dyDescent="0.25">
      <c r="A57" s="7" t="s">
        <v>28</v>
      </c>
      <c r="B57" s="1" t="s">
        <v>19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99" t="s">
        <v>28</v>
      </c>
      <c r="B58" s="100" t="s">
        <v>20</v>
      </c>
      <c r="C58" s="101">
        <v>45751</v>
      </c>
      <c r="D58" s="102">
        <v>0.36249999999999999</v>
      </c>
      <c r="E58" s="103">
        <v>0.54166666666666663</v>
      </c>
      <c r="F58" s="104">
        <v>0.58333333333333337</v>
      </c>
      <c r="G58" s="105">
        <v>0.73750000000000004</v>
      </c>
      <c r="H58" s="106">
        <f>((E58-D58)+(G58-F58))</f>
        <v>0.33333333333333331</v>
      </c>
    </row>
    <row r="59" spans="1:13" ht="18.75" thickBot="1" x14ac:dyDescent="0.3">
      <c r="A59" s="229" t="s">
        <v>21</v>
      </c>
      <c r="B59" s="230"/>
      <c r="C59" s="230"/>
      <c r="D59" s="230"/>
      <c r="E59" s="230"/>
      <c r="F59" s="230"/>
      <c r="G59" s="230"/>
      <c r="H59" s="231"/>
    </row>
    <row r="60" spans="1:13" x14ac:dyDescent="0.25">
      <c r="A60" s="91" t="s">
        <v>28</v>
      </c>
      <c r="B60" s="92" t="s">
        <v>16</v>
      </c>
      <c r="C60" s="107">
        <v>45754</v>
      </c>
      <c r="D60" s="108">
        <v>0.34722222222222221</v>
      </c>
      <c r="E60" s="109">
        <v>0.54166666666666663</v>
      </c>
      <c r="F60" s="110">
        <v>0.58333333333333337</v>
      </c>
      <c r="G60" s="97">
        <v>0.75694444444444442</v>
      </c>
      <c r="H60" s="111">
        <f>((E60-D60)+(G60-F60))</f>
        <v>0.36805555555555547</v>
      </c>
    </row>
    <row r="61" spans="1:13" x14ac:dyDescent="0.25">
      <c r="A61" s="7" t="s">
        <v>28</v>
      </c>
      <c r="B61" s="1" t="s">
        <v>17</v>
      </c>
      <c r="C61" s="35">
        <v>45755</v>
      </c>
      <c r="D61" s="41">
        <v>0.37222222222222223</v>
      </c>
      <c r="E61" s="26">
        <v>0.54166666666666663</v>
      </c>
      <c r="F61" s="45">
        <v>0.58333333333333337</v>
      </c>
      <c r="G61" s="3">
        <v>0.71250000000000002</v>
      </c>
      <c r="H61" s="20">
        <f>((E61-D61)+(G61-F61))</f>
        <v>0.29861111111111105</v>
      </c>
    </row>
    <row r="62" spans="1:13" x14ac:dyDescent="0.25">
      <c r="A62" s="91" t="s">
        <v>28</v>
      </c>
      <c r="B62" s="92" t="s">
        <v>18</v>
      </c>
      <c r="C62" s="93">
        <v>45756</v>
      </c>
      <c r="D62" s="94">
        <v>0.37152777777777779</v>
      </c>
      <c r="E62" s="95">
        <v>0.54166666666666663</v>
      </c>
      <c r="F62" s="96">
        <v>0.58333333333333337</v>
      </c>
      <c r="G62" s="97">
        <v>0.74652777777777779</v>
      </c>
      <c r="H62" s="98">
        <f>((E62-D62)+(G62-F62))</f>
        <v>0.33333333333333326</v>
      </c>
    </row>
    <row r="63" spans="1:13" x14ac:dyDescent="0.25">
      <c r="A63" s="7" t="s">
        <v>28</v>
      </c>
      <c r="B63" s="1" t="s">
        <v>19</v>
      </c>
      <c r="C63" s="35">
        <v>45757</v>
      </c>
      <c r="D63" s="41">
        <v>0.37222222222222223</v>
      </c>
      <c r="E63" s="26">
        <v>0.54166666666666663</v>
      </c>
      <c r="F63" s="45">
        <v>0.58333333333333337</v>
      </c>
      <c r="G63" s="3">
        <v>0.74722222222222223</v>
      </c>
      <c r="H63" s="20">
        <f>((E63-D63)+(G63-F63))</f>
        <v>0.33333333333333326</v>
      </c>
    </row>
    <row r="64" spans="1:13" ht="15.75" thickBot="1" x14ac:dyDescent="0.3">
      <c r="A64" s="99" t="s">
        <v>28</v>
      </c>
      <c r="B64" s="100" t="s">
        <v>20</v>
      </c>
      <c r="C64" s="101">
        <v>45758</v>
      </c>
      <c r="D64" s="102">
        <v>0.37222222222222223</v>
      </c>
      <c r="E64" s="103">
        <v>0.54166666666666663</v>
      </c>
      <c r="F64" s="104">
        <v>0.58333333333333337</v>
      </c>
      <c r="G64" s="105">
        <v>0.74722222222222223</v>
      </c>
      <c r="H64" s="106">
        <f>((E64-D64)+(G64-F64))</f>
        <v>0.33333333333333326</v>
      </c>
    </row>
    <row r="65" spans="1:8" ht="18.75" thickBot="1" x14ac:dyDescent="0.3">
      <c r="A65" s="229" t="s">
        <v>21</v>
      </c>
      <c r="B65" s="230"/>
      <c r="C65" s="230"/>
      <c r="D65" s="230"/>
      <c r="E65" s="230"/>
      <c r="F65" s="230"/>
      <c r="G65" s="230"/>
      <c r="H65" s="231"/>
    </row>
    <row r="66" spans="1:8" x14ac:dyDescent="0.25">
      <c r="A66" s="195" t="s">
        <v>28</v>
      </c>
      <c r="B66" s="196" t="s">
        <v>16</v>
      </c>
      <c r="C66" s="197">
        <v>45761</v>
      </c>
      <c r="D66" s="112" t="s">
        <v>30</v>
      </c>
      <c r="E66" s="112" t="s">
        <v>30</v>
      </c>
      <c r="F66" s="112" t="s">
        <v>22</v>
      </c>
      <c r="G66" s="112" t="s">
        <v>22</v>
      </c>
      <c r="H66" s="134">
        <v>0</v>
      </c>
    </row>
    <row r="67" spans="1:8" x14ac:dyDescent="0.25">
      <c r="A67" s="7" t="s">
        <v>28</v>
      </c>
      <c r="B67" s="1" t="s">
        <v>17</v>
      </c>
      <c r="C67" s="35">
        <v>45762</v>
      </c>
      <c r="D67" s="41">
        <v>0.375</v>
      </c>
      <c r="E67" s="26">
        <v>0.54166666666666663</v>
      </c>
      <c r="F67" s="45">
        <v>0.58333333333333337</v>
      </c>
      <c r="G67" s="3">
        <v>0.75</v>
      </c>
      <c r="H67" s="20">
        <f>((E67-D67)+(G67-F67))</f>
        <v>0.33333333333333326</v>
      </c>
    </row>
    <row r="68" spans="1:8" x14ac:dyDescent="0.25">
      <c r="A68" s="91" t="s">
        <v>28</v>
      </c>
      <c r="B68" s="92" t="s">
        <v>18</v>
      </c>
      <c r="C68" s="93">
        <v>45763</v>
      </c>
      <c r="D68" s="94">
        <v>0.375</v>
      </c>
      <c r="E68" s="95">
        <v>0.54166666666666663</v>
      </c>
      <c r="F68" s="96">
        <v>0.58333333333333337</v>
      </c>
      <c r="G68" s="97">
        <v>0.75</v>
      </c>
      <c r="H68" s="98">
        <f>((E68-D68)+(G68-F68))</f>
        <v>0.33333333333333326</v>
      </c>
    </row>
    <row r="69" spans="1:8" x14ac:dyDescent="0.25">
      <c r="A69" s="7" t="s">
        <v>28</v>
      </c>
      <c r="B69" s="1" t="s">
        <v>19</v>
      </c>
      <c r="C69" s="35">
        <v>45764</v>
      </c>
      <c r="D69" s="41">
        <v>0.37361111111111112</v>
      </c>
      <c r="E69" s="26">
        <v>0.54166666666666663</v>
      </c>
      <c r="F69" s="45">
        <v>0.58333333333333337</v>
      </c>
      <c r="G69" s="3">
        <v>0.74861111111111112</v>
      </c>
      <c r="H69" s="20">
        <f>((E69-D69)+(G69-F69))</f>
        <v>0.33333333333333326</v>
      </c>
    </row>
    <row r="70" spans="1:8" ht="15.75" thickBot="1" x14ac:dyDescent="0.3">
      <c r="A70" s="99" t="s">
        <v>28</v>
      </c>
      <c r="B70" s="100" t="s">
        <v>20</v>
      </c>
      <c r="C70" s="101">
        <v>45765</v>
      </c>
      <c r="D70" s="102">
        <v>0.38333333333333336</v>
      </c>
      <c r="E70" s="103">
        <v>0.54166666666666663</v>
      </c>
      <c r="F70" s="104">
        <v>0.58333333333333337</v>
      </c>
      <c r="G70" s="105">
        <v>0.7583333333333333</v>
      </c>
      <c r="H70" s="106">
        <f>((E70-D70)+(G70-F70))</f>
        <v>0.3333333333333332</v>
      </c>
    </row>
    <row r="71" spans="1:8" ht="18.75" thickBot="1" x14ac:dyDescent="0.3">
      <c r="A71" s="229" t="s">
        <v>21</v>
      </c>
      <c r="B71" s="230"/>
      <c r="C71" s="230"/>
      <c r="D71" s="230"/>
      <c r="E71" s="230"/>
      <c r="F71" s="230"/>
      <c r="G71" s="230"/>
      <c r="H71" s="231"/>
    </row>
    <row r="72" spans="1:8" x14ac:dyDescent="0.25">
      <c r="A72" s="195" t="s">
        <v>28</v>
      </c>
      <c r="B72" s="196" t="s">
        <v>16</v>
      </c>
      <c r="C72" s="197">
        <v>45768</v>
      </c>
      <c r="D72" s="112" t="s">
        <v>31</v>
      </c>
      <c r="E72" s="112" t="s">
        <v>31</v>
      </c>
      <c r="F72" s="112" t="s">
        <v>31</v>
      </c>
      <c r="G72" s="112" t="s">
        <v>31</v>
      </c>
      <c r="H72" s="134">
        <v>0</v>
      </c>
    </row>
    <row r="73" spans="1:8" x14ac:dyDescent="0.25">
      <c r="A73" s="7" t="s">
        <v>28</v>
      </c>
      <c r="B73" s="1" t="s">
        <v>17</v>
      </c>
      <c r="C73" s="35">
        <v>45769</v>
      </c>
      <c r="D73" s="41">
        <v>0.375</v>
      </c>
      <c r="E73" s="26">
        <v>0.54166666666666663</v>
      </c>
      <c r="F73" s="45">
        <v>0.58333333333333337</v>
      </c>
      <c r="G73" s="3">
        <v>0.75</v>
      </c>
      <c r="H73" s="20">
        <f>((E73-D73)+(G73-F73))</f>
        <v>0.33333333333333326</v>
      </c>
    </row>
    <row r="74" spans="1:8" x14ac:dyDescent="0.25">
      <c r="A74" s="91" t="s">
        <v>28</v>
      </c>
      <c r="B74" s="92" t="s">
        <v>18</v>
      </c>
      <c r="C74" s="93">
        <v>45770</v>
      </c>
      <c r="D74" s="94">
        <v>0.375</v>
      </c>
      <c r="E74" s="95">
        <v>0.54166666666666663</v>
      </c>
      <c r="F74" s="96">
        <v>0.58333333333333337</v>
      </c>
      <c r="G74" s="97">
        <v>0.75</v>
      </c>
      <c r="H74" s="98">
        <f>((E74-D74)+(G74-F74))</f>
        <v>0.33333333333333326</v>
      </c>
    </row>
    <row r="75" spans="1:8" x14ac:dyDescent="0.25">
      <c r="A75" s="7" t="s">
        <v>28</v>
      </c>
      <c r="B75" s="1" t="s">
        <v>19</v>
      </c>
      <c r="C75" s="35">
        <v>45771</v>
      </c>
      <c r="D75" s="41">
        <v>0.375</v>
      </c>
      <c r="E75" s="26">
        <v>0.54166666666666663</v>
      </c>
      <c r="F75" s="45">
        <v>0.58333333333333337</v>
      </c>
      <c r="G75" s="3">
        <v>0.75</v>
      </c>
      <c r="H75" s="20">
        <f>((E75-D75)+(G75-F75))</f>
        <v>0.33333333333333326</v>
      </c>
    </row>
    <row r="76" spans="1:8" ht="15.75" thickBot="1" x14ac:dyDescent="0.3">
      <c r="A76" s="198" t="s">
        <v>28</v>
      </c>
      <c r="B76" s="199" t="s">
        <v>20</v>
      </c>
      <c r="C76" s="200">
        <v>45772</v>
      </c>
      <c r="D76" s="113" t="s">
        <v>31</v>
      </c>
      <c r="E76" s="114" t="s">
        <v>31</v>
      </c>
      <c r="F76" s="115" t="s">
        <v>31</v>
      </c>
      <c r="G76" s="116" t="s">
        <v>31</v>
      </c>
      <c r="H76" s="135">
        <v>0</v>
      </c>
    </row>
    <row r="77" spans="1:8" ht="18.75" thickBot="1" x14ac:dyDescent="0.3">
      <c r="A77" s="229" t="s">
        <v>21</v>
      </c>
      <c r="B77" s="230"/>
      <c r="C77" s="230"/>
      <c r="D77" s="230"/>
      <c r="E77" s="230"/>
      <c r="F77" s="230"/>
      <c r="G77" s="230"/>
      <c r="H77" s="231"/>
    </row>
    <row r="78" spans="1:8" x14ac:dyDescent="0.25">
      <c r="A78" s="91" t="s">
        <v>28</v>
      </c>
      <c r="B78" s="92" t="s">
        <v>16</v>
      </c>
      <c r="C78" s="107">
        <v>45775</v>
      </c>
      <c r="D78" s="94">
        <v>0.375</v>
      </c>
      <c r="E78" s="94">
        <v>0.54166666666666663</v>
      </c>
      <c r="F78" s="94">
        <v>0.58333333333333337</v>
      </c>
      <c r="G78" s="94">
        <v>0.75</v>
      </c>
      <c r="H78" s="111">
        <f>((E78-D78)+(G78-F78))</f>
        <v>0.33333333333333326</v>
      </c>
    </row>
    <row r="79" spans="1:8" x14ac:dyDescent="0.25">
      <c r="A79" s="7" t="s">
        <v>28</v>
      </c>
      <c r="B79" s="1" t="s">
        <v>17</v>
      </c>
      <c r="C79" s="35">
        <v>45776</v>
      </c>
      <c r="D79" s="41">
        <v>0.375</v>
      </c>
      <c r="E79" s="26">
        <v>0.54166666666666663</v>
      </c>
      <c r="F79" s="45">
        <v>0.58333333333333337</v>
      </c>
      <c r="G79" s="3">
        <v>0.75</v>
      </c>
      <c r="H79" s="20">
        <v>0.33333333333333331</v>
      </c>
    </row>
    <row r="80" spans="1:8" x14ac:dyDescent="0.25">
      <c r="A80" s="91" t="s">
        <v>28</v>
      </c>
      <c r="B80" s="92" t="s">
        <v>18</v>
      </c>
      <c r="C80" s="93">
        <v>45777</v>
      </c>
      <c r="D80" s="94">
        <v>0.375</v>
      </c>
      <c r="E80" s="95">
        <v>0.54166666666666663</v>
      </c>
      <c r="F80" s="96">
        <v>0.58333333333333337</v>
      </c>
      <c r="G80" s="97">
        <v>0.75</v>
      </c>
      <c r="H80" s="98">
        <v>0.33333333333333331</v>
      </c>
    </row>
    <row r="81" spans="1:9" x14ac:dyDescent="0.25">
      <c r="A81" s="192" t="s">
        <v>32</v>
      </c>
      <c r="B81" s="193" t="s">
        <v>19</v>
      </c>
      <c r="C81" s="194">
        <v>45778</v>
      </c>
      <c r="D81" s="65" t="s">
        <v>31</v>
      </c>
      <c r="E81" s="66" t="s">
        <v>31</v>
      </c>
      <c r="F81" s="67" t="s">
        <v>31</v>
      </c>
      <c r="G81" s="68" t="s">
        <v>31</v>
      </c>
      <c r="H81" s="131">
        <v>0</v>
      </c>
    </row>
    <row r="82" spans="1:9" ht="15.75" thickBot="1" x14ac:dyDescent="0.3">
      <c r="A82" s="201" t="s">
        <v>32</v>
      </c>
      <c r="B82" s="202" t="s">
        <v>20</v>
      </c>
      <c r="C82" s="203">
        <v>45779</v>
      </c>
      <c r="D82" s="184" t="s">
        <v>31</v>
      </c>
      <c r="E82" s="185" t="s">
        <v>31</v>
      </c>
      <c r="F82" s="186" t="s">
        <v>31</v>
      </c>
      <c r="G82" s="187" t="s">
        <v>31</v>
      </c>
      <c r="H82" s="188">
        <v>0</v>
      </c>
    </row>
    <row r="83" spans="1:9" ht="18.75" thickBot="1" x14ac:dyDescent="0.3">
      <c r="A83" s="210" t="s">
        <v>21</v>
      </c>
      <c r="B83" s="211"/>
      <c r="C83" s="211"/>
      <c r="D83" s="211"/>
      <c r="E83" s="211"/>
      <c r="F83" s="211"/>
      <c r="G83" s="211"/>
      <c r="H83" s="212"/>
    </row>
    <row r="84" spans="1:9" x14ac:dyDescent="0.25">
      <c r="A84" s="117" t="s">
        <v>32</v>
      </c>
      <c r="B84" s="119" t="s">
        <v>16</v>
      </c>
      <c r="C84" s="120">
        <v>45782</v>
      </c>
      <c r="D84" s="121">
        <v>0.375</v>
      </c>
      <c r="E84" s="121">
        <v>0.54166666666666663</v>
      </c>
      <c r="F84" s="121">
        <v>0.58333333333333337</v>
      </c>
      <c r="G84" s="121">
        <v>0.75</v>
      </c>
      <c r="H84" s="122">
        <f t="shared" ref="H84:H88" si="5">((E84-D84) + (G84-F84))</f>
        <v>0.33333333333333326</v>
      </c>
      <c r="I84" s="183" t="s">
        <v>34</v>
      </c>
    </row>
    <row r="85" spans="1:9" x14ac:dyDescent="0.25">
      <c r="A85" s="7" t="s">
        <v>32</v>
      </c>
      <c r="B85" s="1" t="s">
        <v>17</v>
      </c>
      <c r="C85" s="35">
        <v>45783</v>
      </c>
      <c r="D85" s="41">
        <v>0.37152777777777779</v>
      </c>
      <c r="E85" s="26">
        <v>0.54166666666666663</v>
      </c>
      <c r="F85" s="45">
        <v>0.58333333333333337</v>
      </c>
      <c r="G85" s="3">
        <v>0.74652777777777779</v>
      </c>
      <c r="H85" s="20">
        <f t="shared" si="5"/>
        <v>0.33333333333333326</v>
      </c>
    </row>
    <row r="86" spans="1:9" x14ac:dyDescent="0.25">
      <c r="A86" s="118" t="s">
        <v>32</v>
      </c>
      <c r="B86" s="119" t="s">
        <v>18</v>
      </c>
      <c r="C86" s="123">
        <v>45784</v>
      </c>
      <c r="D86" s="121">
        <v>0.375</v>
      </c>
      <c r="E86" s="124">
        <v>0.54166666666666663</v>
      </c>
      <c r="F86" s="125">
        <v>0.58333333333333337</v>
      </c>
      <c r="G86" s="126">
        <v>0.75</v>
      </c>
      <c r="H86" s="127">
        <f t="shared" si="5"/>
        <v>0.33333333333333326</v>
      </c>
    </row>
    <row r="87" spans="1:9" x14ac:dyDescent="0.25">
      <c r="A87" s="7" t="s">
        <v>32</v>
      </c>
      <c r="B87" s="1" t="s">
        <v>19</v>
      </c>
      <c r="C87" s="35">
        <v>45785</v>
      </c>
      <c r="D87" s="41">
        <v>0.375</v>
      </c>
      <c r="E87" s="26">
        <v>0.54166666666666663</v>
      </c>
      <c r="F87" s="45">
        <v>0.58333333333333337</v>
      </c>
      <c r="G87" s="3">
        <v>0.75</v>
      </c>
      <c r="H87" s="20">
        <f t="shared" si="5"/>
        <v>0.33333333333333326</v>
      </c>
    </row>
    <row r="88" spans="1:9" ht="15.75" thickBot="1" x14ac:dyDescent="0.3">
      <c r="A88" s="118" t="s">
        <v>32</v>
      </c>
      <c r="B88" s="128" t="s">
        <v>10</v>
      </c>
      <c r="C88" s="123">
        <v>45786</v>
      </c>
      <c r="D88" s="121">
        <v>0.37430555555555556</v>
      </c>
      <c r="E88" s="124">
        <v>0.54166666666666663</v>
      </c>
      <c r="F88" s="125">
        <v>0.58333333333333337</v>
      </c>
      <c r="G88" s="126">
        <v>0.74930555555555556</v>
      </c>
      <c r="H88" s="127">
        <f t="shared" si="5"/>
        <v>0.33333333333333326</v>
      </c>
    </row>
    <row r="89" spans="1:9" ht="18.75" thickBot="1" x14ac:dyDescent="0.3">
      <c r="A89" s="210" t="s">
        <v>21</v>
      </c>
      <c r="B89" s="211"/>
      <c r="C89" s="211"/>
      <c r="D89" s="211"/>
      <c r="E89" s="211"/>
      <c r="F89" s="211"/>
      <c r="G89" s="211"/>
      <c r="H89" s="212"/>
    </row>
    <row r="90" spans="1:9" x14ac:dyDescent="0.25">
      <c r="A90" s="204" t="s">
        <v>32</v>
      </c>
      <c r="B90" s="205" t="s">
        <v>16</v>
      </c>
      <c r="C90" s="206">
        <v>45789</v>
      </c>
      <c r="D90" s="177" t="s">
        <v>30</v>
      </c>
      <c r="E90" s="178" t="s">
        <v>30</v>
      </c>
      <c r="F90" s="179" t="s">
        <v>22</v>
      </c>
      <c r="G90" s="180" t="s">
        <v>22</v>
      </c>
      <c r="H90" s="181">
        <v>0</v>
      </c>
    </row>
    <row r="91" spans="1:9" x14ac:dyDescent="0.25">
      <c r="A91" s="7" t="s">
        <v>32</v>
      </c>
      <c r="B91" s="1" t="s">
        <v>17</v>
      </c>
      <c r="C91" s="35">
        <v>45790</v>
      </c>
      <c r="D91" s="41">
        <v>0.36805555555555558</v>
      </c>
      <c r="E91" s="26">
        <v>0.54166666666666663</v>
      </c>
      <c r="F91" s="45">
        <v>0.58333333333333337</v>
      </c>
      <c r="G91" s="3">
        <v>0.74305555555555558</v>
      </c>
      <c r="H91" s="20">
        <f t="shared" ref="H91:H96" si="6">((E91-D91) + (G91-F91))</f>
        <v>0.33333333333333326</v>
      </c>
    </row>
    <row r="92" spans="1:9" x14ac:dyDescent="0.25">
      <c r="A92" s="118" t="s">
        <v>32</v>
      </c>
      <c r="B92" s="119" t="s">
        <v>18</v>
      </c>
      <c r="C92" s="123">
        <v>45791</v>
      </c>
      <c r="D92" s="121">
        <v>0.375</v>
      </c>
      <c r="E92" s="124">
        <v>0.54166666666666663</v>
      </c>
      <c r="F92" s="125">
        <v>0.58333333333333337</v>
      </c>
      <c r="G92" s="126">
        <v>0.75</v>
      </c>
      <c r="H92" s="127">
        <f t="shared" si="6"/>
        <v>0.33333333333333326</v>
      </c>
      <c r="I92" s="183" t="s">
        <v>34</v>
      </c>
    </row>
    <row r="93" spans="1:9" x14ac:dyDescent="0.25">
      <c r="A93" s="7" t="s">
        <v>32</v>
      </c>
      <c r="B93" s="1" t="s">
        <v>19</v>
      </c>
      <c r="C93" s="35">
        <v>45792</v>
      </c>
      <c r="D93" s="41">
        <v>0.33333333333333331</v>
      </c>
      <c r="E93" s="26">
        <v>0.54166666666666663</v>
      </c>
      <c r="F93" s="45">
        <v>0.58333333333333337</v>
      </c>
      <c r="G93" s="3">
        <v>0.70833333333333337</v>
      </c>
      <c r="H93" s="20">
        <f t="shared" si="6"/>
        <v>0.33333333333333331</v>
      </c>
    </row>
    <row r="94" spans="1:9" ht="15.75" thickBot="1" x14ac:dyDescent="0.3">
      <c r="A94" s="118" t="s">
        <v>32</v>
      </c>
      <c r="B94" s="119" t="s">
        <v>20</v>
      </c>
      <c r="C94" s="123">
        <v>45793</v>
      </c>
      <c r="D94" s="121">
        <v>0.375</v>
      </c>
      <c r="E94" s="124">
        <v>0.54166666666666663</v>
      </c>
      <c r="F94" s="125">
        <v>0.58333333333333337</v>
      </c>
      <c r="G94" s="126">
        <v>0.75</v>
      </c>
      <c r="H94" s="127">
        <f t="shared" si="6"/>
        <v>0.33333333333333326</v>
      </c>
      <c r="I94" s="183" t="s">
        <v>34</v>
      </c>
    </row>
    <row r="95" spans="1:9" ht="18.75" thickBot="1" x14ac:dyDescent="0.3">
      <c r="A95" s="210" t="s">
        <v>21</v>
      </c>
      <c r="B95" s="211"/>
      <c r="C95" s="211"/>
      <c r="D95" s="211"/>
      <c r="E95" s="211"/>
      <c r="F95" s="211"/>
      <c r="G95" s="211"/>
      <c r="H95" s="212"/>
    </row>
    <row r="96" spans="1:9" x14ac:dyDescent="0.25">
      <c r="A96" s="117" t="s">
        <v>32</v>
      </c>
      <c r="B96" s="119" t="s">
        <v>16</v>
      </c>
      <c r="C96" s="120">
        <v>45796</v>
      </c>
      <c r="D96" s="121">
        <v>0.36249999999999999</v>
      </c>
      <c r="E96" s="121">
        <v>0.54166666666666663</v>
      </c>
      <c r="F96" s="121">
        <v>0.58333333333333337</v>
      </c>
      <c r="G96" s="121">
        <v>0.73750000000000004</v>
      </c>
      <c r="H96" s="122">
        <f t="shared" si="6"/>
        <v>0.33333333333333331</v>
      </c>
    </row>
    <row r="97" spans="1:12" x14ac:dyDescent="0.25">
      <c r="A97" s="7" t="s">
        <v>32</v>
      </c>
      <c r="B97" s="1" t="s">
        <v>17</v>
      </c>
      <c r="C97" s="35">
        <v>45797</v>
      </c>
      <c r="D97" s="41">
        <v>0.375</v>
      </c>
      <c r="E97" s="26">
        <v>0.54166666666666663</v>
      </c>
      <c r="F97" s="45">
        <v>0.58333333333333337</v>
      </c>
      <c r="G97" s="3">
        <v>0.75</v>
      </c>
      <c r="H97" s="20">
        <f t="shared" ref="H97:H100" si="7">((E97-D97) + (G97-F97))</f>
        <v>0.33333333333333326</v>
      </c>
      <c r="I97" s="183" t="s">
        <v>34</v>
      </c>
    </row>
    <row r="98" spans="1:12" x14ac:dyDescent="0.25">
      <c r="A98" s="118" t="s">
        <v>32</v>
      </c>
      <c r="B98" s="119" t="s">
        <v>18</v>
      </c>
      <c r="C98" s="123">
        <v>45798</v>
      </c>
      <c r="D98" s="121">
        <v>0.35972222222222222</v>
      </c>
      <c r="E98" s="124">
        <v>0.54166666666666663</v>
      </c>
      <c r="F98" s="125">
        <v>0.58333333333333337</v>
      </c>
      <c r="G98" s="126">
        <v>0.73472222222222228</v>
      </c>
      <c r="H98" s="127">
        <f t="shared" si="7"/>
        <v>0.33333333333333331</v>
      </c>
      <c r="I98" s="183"/>
    </row>
    <row r="99" spans="1:12" x14ac:dyDescent="0.25">
      <c r="A99" s="7" t="s">
        <v>32</v>
      </c>
      <c r="B99" s="1" t="s">
        <v>19</v>
      </c>
      <c r="C99" s="35">
        <v>45799</v>
      </c>
      <c r="D99" s="41">
        <v>0.36249999999999999</v>
      </c>
      <c r="E99" s="26">
        <v>0.54166666666666663</v>
      </c>
      <c r="F99" s="45">
        <v>0.58333333333333337</v>
      </c>
      <c r="G99" s="3">
        <v>0.73750000000000004</v>
      </c>
      <c r="H99" s="20">
        <f t="shared" si="7"/>
        <v>0.33333333333333331</v>
      </c>
      <c r="K99" s="182"/>
    </row>
    <row r="100" spans="1:12" ht="15.75" thickBot="1" x14ac:dyDescent="0.3">
      <c r="A100" s="118" t="s">
        <v>32</v>
      </c>
      <c r="B100" s="119" t="s">
        <v>20</v>
      </c>
      <c r="C100" s="123">
        <v>45800</v>
      </c>
      <c r="D100" s="121">
        <v>0.36388888888888887</v>
      </c>
      <c r="E100" s="124">
        <v>0.54166666666666663</v>
      </c>
      <c r="F100" s="125">
        <v>0.58333333333333337</v>
      </c>
      <c r="G100" s="126">
        <v>0.73888888888888893</v>
      </c>
      <c r="H100" s="127">
        <f t="shared" si="7"/>
        <v>0.33333333333333331</v>
      </c>
      <c r="L100" s="182"/>
    </row>
    <row r="101" spans="1:12" ht="18.75" thickBot="1" x14ac:dyDescent="0.3">
      <c r="A101" s="210" t="s">
        <v>21</v>
      </c>
      <c r="B101" s="211"/>
      <c r="C101" s="211"/>
      <c r="D101" s="211"/>
      <c r="E101" s="211"/>
      <c r="F101" s="211"/>
      <c r="G101" s="211"/>
      <c r="H101" s="212"/>
    </row>
    <row r="102" spans="1:12" x14ac:dyDescent="0.25">
      <c r="A102" s="117" t="s">
        <v>32</v>
      </c>
      <c r="B102" s="119" t="s">
        <v>16</v>
      </c>
      <c r="C102" s="120">
        <v>45803</v>
      </c>
      <c r="D102" s="121">
        <v>0.37152777777777779</v>
      </c>
      <c r="E102" s="121">
        <v>0.54166666666666663</v>
      </c>
      <c r="F102" s="121">
        <v>0.58333333333333337</v>
      </c>
      <c r="G102" s="121">
        <v>0.74652777777777779</v>
      </c>
      <c r="H102" s="122">
        <v>0.33333333333333331</v>
      </c>
      <c r="J102" s="182">
        <v>0.33333333333333331</v>
      </c>
    </row>
    <row r="103" spans="1:12" x14ac:dyDescent="0.25">
      <c r="A103" s="192" t="s">
        <v>32</v>
      </c>
      <c r="B103" s="193" t="s">
        <v>17</v>
      </c>
      <c r="C103" s="194">
        <v>45804</v>
      </c>
      <c r="D103" s="65" t="s">
        <v>30</v>
      </c>
      <c r="E103" s="66" t="s">
        <v>30</v>
      </c>
      <c r="F103" s="67" t="s">
        <v>22</v>
      </c>
      <c r="G103" s="68" t="s">
        <v>22</v>
      </c>
      <c r="H103" s="131">
        <v>0</v>
      </c>
    </row>
    <row r="104" spans="1:12" x14ac:dyDescent="0.25">
      <c r="A104" s="118" t="s">
        <v>32</v>
      </c>
      <c r="B104" s="119" t="s">
        <v>18</v>
      </c>
      <c r="C104" s="123">
        <v>45805</v>
      </c>
      <c r="D104" s="121">
        <v>0.36875000000000002</v>
      </c>
      <c r="E104" s="124">
        <v>0.54166666666666663</v>
      </c>
      <c r="F104" s="125">
        <v>0.58333333333333337</v>
      </c>
      <c r="G104" s="126">
        <v>0.74375000000000002</v>
      </c>
      <c r="H104" s="127">
        <v>0.33333333333333331</v>
      </c>
    </row>
    <row r="105" spans="1:12" x14ac:dyDescent="0.25">
      <c r="A105" s="7" t="s">
        <v>32</v>
      </c>
      <c r="B105" s="1" t="s">
        <v>19</v>
      </c>
      <c r="C105" s="35">
        <v>45806</v>
      </c>
      <c r="D105" s="41">
        <v>0.37430555555555556</v>
      </c>
      <c r="E105" s="26">
        <v>0.54166666666666663</v>
      </c>
      <c r="F105" s="45">
        <v>0.58333333333333337</v>
      </c>
      <c r="G105" s="3">
        <v>0.74930555555555556</v>
      </c>
      <c r="H105" s="20">
        <v>0.33333333333333331</v>
      </c>
    </row>
    <row r="106" spans="1:12" ht="15.75" thickBot="1" x14ac:dyDescent="0.3">
      <c r="A106" s="118" t="s">
        <v>32</v>
      </c>
      <c r="B106" s="119" t="s">
        <v>20</v>
      </c>
      <c r="C106" s="123">
        <v>45807</v>
      </c>
      <c r="D106" s="121">
        <v>0.3576388888888889</v>
      </c>
      <c r="E106" s="124">
        <v>0.54166666666666663</v>
      </c>
      <c r="F106" s="125">
        <v>0.58333333333333337</v>
      </c>
      <c r="G106" s="126">
        <v>0.73263888888888884</v>
      </c>
      <c r="H106" s="127">
        <v>0.33333333333333331</v>
      </c>
    </row>
    <row r="107" spans="1:12" ht="18.75" thickBot="1" x14ac:dyDescent="0.3">
      <c r="A107" s="207" t="s">
        <v>21</v>
      </c>
      <c r="B107" s="208"/>
      <c r="C107" s="208"/>
      <c r="D107" s="208"/>
      <c r="E107" s="208"/>
      <c r="F107" s="208"/>
      <c r="G107" s="208"/>
      <c r="H107" s="209"/>
    </row>
    <row r="108" spans="1:12" x14ac:dyDescent="0.25">
      <c r="A108" s="144" t="s">
        <v>33</v>
      </c>
      <c r="B108" s="145" t="s">
        <v>16</v>
      </c>
      <c r="C108" s="146">
        <v>45810</v>
      </c>
      <c r="D108" s="147" t="s">
        <v>31</v>
      </c>
      <c r="E108" s="147" t="s">
        <v>31</v>
      </c>
      <c r="F108" s="147" t="s">
        <v>31</v>
      </c>
      <c r="G108" s="147" t="s">
        <v>31</v>
      </c>
      <c r="H108" s="148">
        <v>0</v>
      </c>
    </row>
    <row r="109" spans="1:12" x14ac:dyDescent="0.25">
      <c r="A109" s="7" t="s">
        <v>33</v>
      </c>
      <c r="B109" s="1" t="s">
        <v>17</v>
      </c>
      <c r="C109" s="35">
        <v>45811</v>
      </c>
      <c r="D109" s="41"/>
      <c r="E109" s="26"/>
      <c r="F109" s="45"/>
      <c r="G109" s="3"/>
      <c r="H109" s="20"/>
    </row>
    <row r="110" spans="1:12" x14ac:dyDescent="0.25">
      <c r="A110" s="149" t="s">
        <v>33</v>
      </c>
      <c r="B110" s="145" t="s">
        <v>18</v>
      </c>
      <c r="C110" s="150">
        <v>45812</v>
      </c>
      <c r="D110" s="147"/>
      <c r="E110" s="151"/>
      <c r="F110" s="152"/>
      <c r="G110" s="153"/>
      <c r="H110" s="154"/>
    </row>
    <row r="111" spans="1:12" x14ac:dyDescent="0.25">
      <c r="A111" s="7" t="s">
        <v>33</v>
      </c>
      <c r="B111" s="1" t="s">
        <v>19</v>
      </c>
      <c r="C111" s="35">
        <v>45813</v>
      </c>
      <c r="D111" s="41"/>
      <c r="E111" s="26"/>
      <c r="F111" s="45"/>
      <c r="G111" s="3"/>
      <c r="H111" s="20"/>
    </row>
    <row r="112" spans="1:12" ht="15.75" thickBot="1" x14ac:dyDescent="0.3">
      <c r="A112" s="149" t="s">
        <v>33</v>
      </c>
      <c r="B112" s="145" t="s">
        <v>20</v>
      </c>
      <c r="C112" s="150">
        <v>45814</v>
      </c>
      <c r="D112" s="147"/>
      <c r="E112" s="151"/>
      <c r="F112" s="152"/>
      <c r="G112" s="153"/>
      <c r="H112" s="154"/>
    </row>
    <row r="113" spans="1:8" ht="18.75" thickBot="1" x14ac:dyDescent="0.3">
      <c r="A113" s="207" t="s">
        <v>21</v>
      </c>
      <c r="B113" s="208"/>
      <c r="C113" s="208"/>
      <c r="D113" s="208"/>
      <c r="E113" s="208"/>
      <c r="F113" s="208"/>
      <c r="G113" s="208"/>
      <c r="H113" s="209"/>
    </row>
    <row r="114" spans="1:8" x14ac:dyDescent="0.25">
      <c r="A114" s="144" t="s">
        <v>33</v>
      </c>
      <c r="B114" s="145" t="s">
        <v>16</v>
      </c>
      <c r="C114" s="146">
        <v>45817</v>
      </c>
      <c r="D114" s="147"/>
      <c r="E114" s="147"/>
      <c r="F114" s="147"/>
      <c r="G114" s="147"/>
      <c r="H114" s="148"/>
    </row>
    <row r="115" spans="1:8" ht="15.75" thickBot="1" x14ac:dyDescent="0.3">
      <c r="A115" s="143" t="s">
        <v>33</v>
      </c>
      <c r="B115" s="136" t="s">
        <v>17</v>
      </c>
      <c r="C115" s="137">
        <v>45818</v>
      </c>
      <c r="D115" s="138"/>
      <c r="E115" s="139"/>
      <c r="F115" s="140"/>
      <c r="G115" s="141"/>
      <c r="H115" s="142"/>
    </row>
  </sheetData>
  <autoFilter ref="A2:H115" xr:uid="{00000000-0001-0000-0000-000000000000}">
    <filterColumn colId="3" showButton="0"/>
    <filterColumn colId="5" showButton="0"/>
  </autoFilter>
  <mergeCells count="26">
    <mergeCell ref="A77:H77"/>
    <mergeCell ref="A65:H65"/>
    <mergeCell ref="A59:H59"/>
    <mergeCell ref="A53:H53"/>
    <mergeCell ref="A47:H47"/>
    <mergeCell ref="A71:H71"/>
    <mergeCell ref="A5:H5"/>
    <mergeCell ref="A11:H11"/>
    <mergeCell ref="A41:H41"/>
    <mergeCell ref="A1:H1"/>
    <mergeCell ref="D2:E2"/>
    <mergeCell ref="F2:G2"/>
    <mergeCell ref="C2:C3"/>
    <mergeCell ref="B2:B3"/>
    <mergeCell ref="A2:A3"/>
    <mergeCell ref="H2:H3"/>
    <mergeCell ref="A35:H35"/>
    <mergeCell ref="A29:H29"/>
    <mergeCell ref="A17:H17"/>
    <mergeCell ref="A23:H23"/>
    <mergeCell ref="A113:H113"/>
    <mergeCell ref="A83:H83"/>
    <mergeCell ref="A89:H89"/>
    <mergeCell ref="A95:H95"/>
    <mergeCell ref="A101:H101"/>
    <mergeCell ref="A107:H10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2025-05-30T06:42:52Z</dcterms:modified>
</cp:coreProperties>
</file>